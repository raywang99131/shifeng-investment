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EOD Prices" state="visible" r:id="rId4"/>
    <sheet sheetId="2" name="Derived 5Y Spreads" state="visible" r:id="rId5"/>
    <sheet sheetId="3" name="Daily Dashboard" state="visible" r:id="rId6"/>
    <sheet sheetId="4" name="Discount Curves" state="visible" r:id="rId7"/>
    <sheet sheetId="5" name="Contract Registry" state="visible" r:id="rId8"/>
    <sheet sheetId="6" name="Validation Log" state="visible" r:id="rId9"/>
    <sheet sheetId="7" name="Methodology" state="visible" r:id="rId10"/>
  </sheets>
  <calcPr calcId="171027" fullCalcOnLoad="1"/>
</workbook>
</file>

<file path=xl/sharedStrings.xml><?xml version="1.0" encoding="utf-8"?>
<sst xmlns="http://schemas.openxmlformats.org/spreadsheetml/2006/main" count="6470" uniqueCount="184">
  <si>
    <t>Batch ID</t>
  </si>
  <si>
    <t>Clearing Date</t>
  </si>
  <si>
    <t>Company</t>
  </si>
  <si>
    <t>ICE Name</t>
  </si>
  <si>
    <t>Instrument Name</t>
  </si>
  <si>
    <t>EOD Price</t>
  </si>
  <si>
    <t>Source URL</t>
  </si>
  <si>
    <t>Imported At</t>
  </si>
  <si>
    <t>ice-20260824-7bf9d81a3ef7</t>
  </si>
  <si>
    <t>Oracle</t>
  </si>
  <si>
    <t>Oracle Cop</t>
  </si>
  <si>
    <t>ORCLE.SNRFOR.USD.XR14.100.2031-06-20</t>
  </si>
  <si>
    <t>Open source</t>
  </si>
  <si>
    <t>2026-08-25T08:42:50.208Z</t>
  </si>
  <si>
    <t>CoreWeave</t>
  </si>
  <si>
    <t>COREWEAVE INC</t>
  </si>
  <si>
    <t>COREWEI.SNRFOR.USD.XR14.500.2031-06-20</t>
  </si>
  <si>
    <t>NVIDIA</t>
  </si>
  <si>
    <t>NVIDIA Corp</t>
  </si>
  <si>
    <t>NVIDIA.SNRFOR.USD.XR14.100.2031-06-20</t>
  </si>
  <si>
    <t>Amazon</t>
  </si>
  <si>
    <t>Amazon Com Inc</t>
  </si>
  <si>
    <t>AMZN.SNRFOR.USD.XR14.100.2031-06-20</t>
  </si>
  <si>
    <t>Google</t>
  </si>
  <si>
    <t>Alphabet Inc</t>
  </si>
  <si>
    <t>ALPHINC.SNRFOR.USD.XR14.100.2031-06-20</t>
  </si>
  <si>
    <t>Microsoft</t>
  </si>
  <si>
    <t>Microsoft Corp</t>
  </si>
  <si>
    <t>MSFT.SNRFOR.USD.XR14.100.2031-06-20</t>
  </si>
  <si>
    <t>Meta</t>
  </si>
  <si>
    <t>META PLATFORMS INC</t>
  </si>
  <si>
    <t>METAPL.SNRFOR.USD.XR14.100.2031-06-20</t>
  </si>
  <si>
    <t>ice-20260825-0e1d34305b1a</t>
  </si>
  <si>
    <t>2026-08-26T08:53:53.295Z</t>
  </si>
  <si>
    <t>ice-20260826-477a2681e92b</t>
  </si>
  <si>
    <t>2026-08-27T18:39:49.905Z</t>
  </si>
  <si>
    <t>ice-20260827-480e0acc266e</t>
  </si>
  <si>
    <t>2026-08-28T01:42:59.879Z</t>
  </si>
  <si>
    <t>ice-20260828-62a54378e84d</t>
  </si>
  <si>
    <t>2026-08-31T02:52:22.842Z</t>
  </si>
  <si>
    <t>ice-20260831-97f11462974c</t>
  </si>
  <si>
    <t>2026-09-01T09:03:35.101Z</t>
  </si>
  <si>
    <t>ice-20260902-4ae5ad3609f5</t>
  </si>
  <si>
    <t>2026-09-03T09:03:25.316Z</t>
  </si>
  <si>
    <t>ice-20260903-fd3c6e1b5518</t>
  </si>
  <si>
    <t>2026-09-04T09:03:24.046Z</t>
  </si>
  <si>
    <t>ice-20260904-5617a923de2f</t>
  </si>
  <si>
    <t>2026-09-07T07:14:33.887Z</t>
  </si>
  <si>
    <t>ice-20260907-76d6a3c296b4</t>
  </si>
  <si>
    <t>2026-09-08T07:14:25.361Z</t>
  </si>
  <si>
    <t>ice-20260908-53e55bd48bb8</t>
  </si>
  <si>
    <t>2026-09-09T07:14:24.429Z</t>
  </si>
  <si>
    <t>ice-20260909-31d8fa71cf01</t>
  </si>
  <si>
    <t>2026-09-10T01:11:31.880Z</t>
  </si>
  <si>
    <t>ice-20260910-b0f1d5701828</t>
  </si>
  <si>
    <t>2026-09-11T01:21:43.992Z</t>
  </si>
  <si>
    <t>ice-20260911-85d8b4e131e1</t>
  </si>
  <si>
    <t>2026-09-14T05:52:19.181Z</t>
  </si>
  <si>
    <t>ice-20260914-8ebd91874b70</t>
  </si>
  <si>
    <t>2026-09-15T02:25:28.304Z</t>
  </si>
  <si>
    <t>ice-20260915-2a9431f8d6e7</t>
  </si>
  <si>
    <t>2026-09-16T06:15:02.424Z</t>
  </si>
  <si>
    <t>ice-20260916-2e9c2c03fccf</t>
  </si>
  <si>
    <t>2026-09-17T06:14:53.771Z</t>
  </si>
  <si>
    <t>ice-20260917-eb10443909b0</t>
  </si>
  <si>
    <t>2026-09-18T06:14:53.125Z</t>
  </si>
  <si>
    <t>ice-20260918-a28914bd0edf</t>
  </si>
  <si>
    <t>2026-09-20T06:27:35.469Z</t>
  </si>
  <si>
    <t>Coupon (bp)</t>
  </si>
  <si>
    <t>Spread (bp)</t>
  </si>
  <si>
    <t>Maturity Date</t>
  </si>
  <si>
    <t>Round-trip Price</t>
  </si>
  <si>
    <t>Price Residual</t>
  </si>
  <si>
    <t>Hazard Rate</t>
  </si>
  <si>
    <t>Curve ID</t>
  </si>
  <si>
    <t>Recovery Rate</t>
  </si>
  <si>
    <t>Model Version</t>
  </si>
  <si>
    <t>Quality Status</t>
  </si>
  <si>
    <t>Official Spread (bp)</t>
  </si>
  <si>
    <t>Relative Error</t>
  </si>
  <si>
    <t>screenshot-reference-20260824-v1</t>
  </si>
  <si>
    <t>SCREENSHOT.ORCLE.5Y</t>
  </si>
  <si>
    <t>screenshot-reference-not-applicable</t>
  </si>
  <si>
    <t>screenshot-backfill-v1</t>
  </si>
  <si>
    <t>stale</t>
  </si>
  <si>
    <t>SCREENSHOT.COREWEI.5Y</t>
  </si>
  <si>
    <t>SCREENSHOT.AMZN.5Y</t>
  </si>
  <si>
    <t>SCREENSHOT.ALPHINC.5Y</t>
  </si>
  <si>
    <t>SCREENSHOT.MSFT.5Y</t>
  </si>
  <si>
    <t>SCREENSHOT.METAPL.5Y</t>
  </si>
  <si>
    <t>SCREENSHOT.NVIDIA.5Y</t>
  </si>
  <si>
    <t>ust-par-zero-proxy-2026-08-24</t>
  </si>
  <si>
    <t>ice-isda-compatible-v1</t>
  </si>
  <si>
    <t>model-derived</t>
  </si>
  <si>
    <t>ust-par-zero-proxy-2026-08-25</t>
  </si>
  <si>
    <t>ust-par-zero-proxy-2026-08-26</t>
  </si>
  <si>
    <t>ust-par-zero-proxy-2026-08-27</t>
  </si>
  <si>
    <t>ust-par-zero-proxy-2026-08-28</t>
  </si>
  <si>
    <t>ust-par-zero-proxy-2026-08-31</t>
  </si>
  <si>
    <t>ust-par-zero-proxy-2026-09-02</t>
  </si>
  <si>
    <t>ust-par-zero-proxy-2026-09-03</t>
  </si>
  <si>
    <t>ust-par-zero-proxy-2026-09-04</t>
  </si>
  <si>
    <t>ust-par-zero-proxy-2026-09-08</t>
  </si>
  <si>
    <t>ust-par-zero-proxy-2026-09-09</t>
  </si>
  <si>
    <t>ust-par-zero-proxy-2026-09-10</t>
  </si>
  <si>
    <t>ust-par-zero-proxy-2026-09-11</t>
  </si>
  <si>
    <t>ust-par-zero-proxy-2026-09-14</t>
  </si>
  <si>
    <t>ust-par-zero-proxy-2026-09-15</t>
  </si>
  <si>
    <t>ust-par-zero-proxy-2026-09-16</t>
  </si>
  <si>
    <t>ust-par-zero-proxy-2026-09-17</t>
  </si>
  <si>
    <t>ust-par-zero-proxy-2026-09-18</t>
  </si>
  <si>
    <t>Date</t>
  </si>
  <si>
    <t>1D Δ (bp)</t>
  </si>
  <si>
    <t>7D Δ (bp)</t>
  </si>
  <si>
    <t>1M Δ (bp)</t>
  </si>
  <si>
    <t>As Of</t>
  </si>
  <si>
    <t>Currency</t>
  </si>
  <si>
    <t>Years</t>
  </si>
  <si>
    <t>Continuous Zero Rate</t>
  </si>
  <si>
    <t>Source Label</t>
  </si>
  <si>
    <t>USD</t>
  </si>
  <si>
    <t>U.S. Treasury par yields · continuous-zero proxy</t>
  </si>
  <si>
    <t>Aliases</t>
  </si>
  <si>
    <t>Symbols</t>
  </si>
  <si>
    <t>Tier</t>
  </si>
  <si>
    <t>Restructuring</t>
  </si>
  <si>
    <t>ORACLE COP; ORACLE CORP; ORACLE CORPORATION</t>
  </si>
  <si>
    <t>ORCLE; ORCL</t>
  </si>
  <si>
    <t>SNRFOR</t>
  </si>
  <si>
    <t>XR14</t>
  </si>
  <si>
    <t>COREWEAVE; COREWEAVE INC; COREWEAVE, INC.</t>
  </si>
  <si>
    <t>COREWEI; CRWV</t>
  </si>
  <si>
    <t>NVIDIA CORP; NVIDIA CORPORATION</t>
  </si>
  <si>
    <t>NVIDIA; NVDA</t>
  </si>
  <si>
    <t>AMAZON COM INC; AMAZON.COM INC; AMAZON INC</t>
  </si>
  <si>
    <t>AMZN</t>
  </si>
  <si>
    <t>ALPHABET INC; ALPHABET, INC.; GOOGLE INC; GOOGLE LLC</t>
  </si>
  <si>
    <t>ALPHINC; GOOG; GOOGL</t>
  </si>
  <si>
    <t>MICROSOFT CORP; MICROSOFT CORPORATION</t>
  </si>
  <si>
    <t>MSFT</t>
  </si>
  <si>
    <t>META PLATFORMS INC; META PLATFORMS, INC.; META PLATFORMS</t>
  </si>
  <si>
    <t>METAPL; META</t>
  </si>
  <si>
    <t>Created At</t>
  </si>
  <si>
    <t>Level</t>
  </si>
  <si>
    <t>Code</t>
  </si>
  <si>
    <t>Message</t>
  </si>
  <si>
    <t>ice-empty-v1</t>
  </si>
  <si>
    <t>2026-08-25T07:49:40.977Z</t>
  </si>
  <si>
    <t>info</t>
  </si>
  <si>
    <t>initialized-empty</t>
  </si>
  <si>
    <t/>
  </si>
  <si>
    <t>Initialized without screenshot or DTCC values; waiting for the first ICE EOD Price import.</t>
  </si>
  <si>
    <t>2026-08-25T08:23:39.776Z</t>
  </si>
  <si>
    <t>warning</t>
  </si>
  <si>
    <t>No official spread benchmark supplied; model-derived only</t>
  </si>
  <si>
    <t>2026-08-25T08:30:05.427Z</t>
  </si>
  <si>
    <t>screenshot-history-backfill</t>
  </si>
  <si>
    <t>2026-06-10 through 2026-08-21 history was digitized from the supplied chart image; values are visual references, not official ICE observations.</t>
  </si>
  <si>
    <t>2026-08-26T03:26:20.274Z</t>
  </si>
  <si>
    <t>2026-08-27T01:17:02.154Z</t>
  </si>
  <si>
    <t>2026-08-28T00:57:56.532Z</t>
  </si>
  <si>
    <t>2026-08-29T01:42:51.815Z</t>
  </si>
  <si>
    <t>2026-09-01T01:07:58.040Z</t>
  </si>
  <si>
    <t>2026-09-05T09:03:25.531Z</t>
  </si>
  <si>
    <t>2026-09-11T01:11:23.057Z</t>
  </si>
  <si>
    <t>2026-09-12T01:21:41.540Z</t>
  </si>
  <si>
    <t>2026-09-16T02:25:27.800Z</t>
  </si>
  <si>
    <t>2026-09-17T06:01:12.426Z</t>
  </si>
  <si>
    <t>2026-09-18T06:01:13.067Z</t>
  </si>
  <si>
    <t>2026-09-19T06:26:39.344Z</t>
  </si>
  <si>
    <t>Key</t>
  </si>
  <si>
    <t>Value</t>
  </si>
  <si>
    <t>schemaVersion</t>
  </si>
  <si>
    <t>batchId</t>
  </si>
  <si>
    <t>generatedAt</t>
  </si>
  <si>
    <t>modelVersion</t>
  </si>
  <si>
    <t>priceTolerance</t>
  </si>
  <si>
    <t>relativeBenchmarkTolerance</t>
  </si>
  <si>
    <t>note</t>
  </si>
  <si>
    <t>Model-derived unless an official spread benchmark passes validation.</t>
  </si>
  <si>
    <t>sourceDefinition</t>
  </si>
  <si>
    <t>ICE EOD Price is the source input; Spread (bp) is a model-derived estimate.</t>
  </si>
  <si>
    <t>officialStatus</t>
  </si>
  <si>
    <t>This workbook does not present model-derived spreads as official ICE spread quotations.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</si>
</sst>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yyyy-mm-dd"/>
    <numFmt numFmtId="165" formatCode="0.0000"/>
    <numFmt numFmtId="166" formatCode="0.000000"/>
    <numFmt numFmtId="167" formatCode="+0.00;[Red]-0.00;-"/>
    <numFmt numFmtId="168" formatCode="0.0000%"/>
  </numFmts>
  <fonts count="6" x14ac:knownFonts="1">
    <font>
      <color theme="1"/>
      <family val="2"/>
      <scheme val="minor"/>
      <sz val="11"/>
      <name val="Calibri"/>
    </font>
    <font>
      <b/>
      <color rgb="FFFFFFFF"/>
      <sz val="10"/>
      <name val="Aptos"/>
    </font>
    <font>
      <color rgb="FF000000"/>
      <sz val="10"/>
      <name val="Aptos"/>
    </font>
    <font>
      <u/>
      <color rgb="FFFF0000"/>
      <sz val="10"/>
      <name val="Aptos"/>
    </font>
    <font>
      <color rgb="FF008000"/>
      <sz val="10"/>
      <name val="Aptos"/>
    </font>
    <font>
      <color rgb="FF0000FF"/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7F9FC"/>
      </patternFill>
    </fill>
    <fill>
      <patternFill patternType="solid">
        <fgColor rgb="FFFCE4D6"/>
      </patternFill>
    </fill>
    <fill>
      <patternFill patternType="solid">
        <fgColor rgb="FFDCE6F1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7365D"/>
      </bottom>
      <diagonal/>
    </border>
    <border>
      <left/>
      <right/>
      <top/>
      <bottom style="hair">
        <color rgb="FFD9E2F3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164" fontId="2" fillId="3" borderId="2" xfId="0" applyNumberFormat="1" applyFont="1" applyFill="1" applyBorder="1" applyAlignment="1">
      <alignment vertical="center"/>
    </xf>
    <xf numFmtId="165" fontId="2" fillId="3" borderId="2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vertical="center"/>
    </xf>
    <xf numFmtId="2" fontId="2" fillId="3" borderId="2" xfId="0" applyNumberFormat="1" applyFont="1" applyFill="1" applyBorder="1" applyAlignment="1">
      <alignment horizontal="right" vertical="center"/>
    </xf>
    <xf numFmtId="166" fontId="2" fillId="3" borderId="2" xfId="0" applyNumberFormat="1" applyFont="1" applyFill="1" applyBorder="1" applyAlignment="1">
      <alignment horizontal="right" vertical="center"/>
    </xf>
    <xf numFmtId="10" fontId="2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vertical="center"/>
    </xf>
    <xf numFmtId="2" fontId="2" fillId="0" borderId="2" xfId="0" applyNumberFormat="1" applyFont="1" applyBorder="1" applyAlignment="1">
      <alignment horizontal="right" vertical="center"/>
    </xf>
    <xf numFmtId="166" fontId="2" fillId="0" borderId="2" xfId="0" applyNumberFormat="1" applyFont="1" applyBorder="1" applyAlignment="1">
      <alignment horizontal="right" vertical="center"/>
    </xf>
    <xf numFmtId="10" fontId="2" fillId="0" borderId="2" xfId="0" applyNumberFormat="1" applyFont="1" applyBorder="1" applyAlignment="1">
      <alignment horizontal="right" vertical="center"/>
    </xf>
    <xf numFmtId="0" fontId="2" fillId="5" borderId="2" xfId="0" applyFont="1" applyFill="1" applyBorder="1" applyAlignment="1">
      <alignment vertical="center"/>
    </xf>
    <xf numFmtId="2" fontId="4" fillId="3" borderId="2" xfId="0" applyNumberFormat="1" applyFont="1" applyFill="1" applyBorder="1" applyAlignment="1">
      <alignment horizontal="right" vertical="center"/>
    </xf>
    <xf numFmtId="167" fontId="4" fillId="3" borderId="2" xfId="0" applyNumberFormat="1" applyFont="1" applyFill="1" applyBorder="1" applyAlignment="1">
      <alignment horizontal="right" vertical="center"/>
    </xf>
    <xf numFmtId="165" fontId="4" fillId="3" borderId="2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2" fontId="4" fillId="0" borderId="2" xfId="0" applyNumberFormat="1" applyFont="1" applyBorder="1" applyAlignment="1">
      <alignment horizontal="right" vertical="center"/>
    </xf>
    <xf numFmtId="167" fontId="4" fillId="0" borderId="2" xfId="0" applyNumberFormat="1" applyFont="1" applyBorder="1" applyAlignment="1">
      <alignment horizontal="right" vertical="center"/>
    </xf>
    <xf numFmtId="165" fontId="4" fillId="0" borderId="2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168" fontId="2" fillId="3" borderId="2" xfId="0" applyNumberFormat="1" applyFont="1" applyFill="1" applyBorder="1" applyAlignment="1">
      <alignment horizontal="right" vertical="center"/>
    </xf>
    <xf numFmtId="168" fontId="2" fillId="0" borderId="2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3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165" fontId="5" fillId="3" borderId="2" xfId="0" applyNumberFormat="1" applyFont="1" applyFill="1" applyBorder="1" applyAlignment="1">
      <alignment vertical="top" wrapText="1"/>
    </xf>
    <xf numFmtId="10" fontId="5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com/cds-settlement-prices/icc/single-name-instruments" TargetMode="External"/><Relationship Id="rId2" Type="http://schemas.openxmlformats.org/officeDocument/2006/relationships/hyperlink" Target="https://www.ice.com/cds-settlement-prices/icc/single-name-instruments" TargetMode="External"/><Relationship Id="rId3" Type="http://schemas.openxmlformats.org/officeDocument/2006/relationships/hyperlink" Target="https://www.ice.com/cds-settlement-prices/icc/single-name-instruments" TargetMode="External"/><Relationship Id="rId4" Type="http://schemas.openxmlformats.org/officeDocument/2006/relationships/hyperlink" Target="https://www.ice.com/cds-settlement-prices/icc/single-name-instruments" TargetMode="External"/><Relationship Id="rId5" Type="http://schemas.openxmlformats.org/officeDocument/2006/relationships/hyperlink" Target="https://www.ice.com/cds-settlement-prices/icc/single-name-instruments" TargetMode="External"/><Relationship Id="rId6" Type="http://schemas.openxmlformats.org/officeDocument/2006/relationships/hyperlink" Target="https://www.ice.com/cds-settlement-prices/icc/single-name-instruments" TargetMode="External"/><Relationship Id="rId7" Type="http://schemas.openxmlformats.org/officeDocument/2006/relationships/hyperlink" Target="https://www.ice.com/cds-settlement-prices/icc/single-name-instruments" TargetMode="External"/><Relationship Id="rId8" Type="http://schemas.openxmlformats.org/officeDocument/2006/relationships/hyperlink" Target="https://www.ice.com/cds-settlement-prices/icc/single-name-instruments" TargetMode="External"/><Relationship Id="rId9" Type="http://schemas.openxmlformats.org/officeDocument/2006/relationships/hyperlink" Target="https://www.ice.com/cds-settlement-prices/icc/single-name-instruments" TargetMode="External"/><Relationship Id="rId10" Type="http://schemas.openxmlformats.org/officeDocument/2006/relationships/hyperlink" Target="https://www.ice.com/cds-settlement-prices/icc/single-name-instruments" TargetMode="External"/><Relationship Id="rId11" Type="http://schemas.openxmlformats.org/officeDocument/2006/relationships/hyperlink" Target="https://www.ice.com/cds-settlement-prices/icc/single-name-instruments" TargetMode="External"/><Relationship Id="rId12" Type="http://schemas.openxmlformats.org/officeDocument/2006/relationships/hyperlink" Target="https://www.ice.com/cds-settlement-prices/icc/single-name-instruments" TargetMode="External"/><Relationship Id="rId13" Type="http://schemas.openxmlformats.org/officeDocument/2006/relationships/hyperlink" Target="https://www.ice.com/cds-settlement-prices/icc/single-name-instruments" TargetMode="External"/><Relationship Id="rId14" Type="http://schemas.openxmlformats.org/officeDocument/2006/relationships/hyperlink" Target="https://www.ice.com/cds-settlement-prices/icc/single-name-instruments" TargetMode="External"/><Relationship Id="rId15" Type="http://schemas.openxmlformats.org/officeDocument/2006/relationships/hyperlink" Target="https://www.ice.com/cds-settlement-prices/icc/single-name-instruments" TargetMode="External"/><Relationship Id="rId16" Type="http://schemas.openxmlformats.org/officeDocument/2006/relationships/hyperlink" Target="https://www.ice.com/cds-settlement-prices/icc/single-name-instruments" TargetMode="External"/><Relationship Id="rId17" Type="http://schemas.openxmlformats.org/officeDocument/2006/relationships/hyperlink" Target="https://www.ice.com/cds-settlement-prices/icc/single-name-instruments" TargetMode="External"/><Relationship Id="rId18" Type="http://schemas.openxmlformats.org/officeDocument/2006/relationships/hyperlink" Target="https://www.ice.com/cds-settlement-prices/icc/single-name-instruments" TargetMode="External"/><Relationship Id="rId19" Type="http://schemas.openxmlformats.org/officeDocument/2006/relationships/hyperlink" Target="https://www.ice.com/cds-settlement-prices/icc/single-name-instruments" TargetMode="External"/><Relationship Id="rId20" Type="http://schemas.openxmlformats.org/officeDocument/2006/relationships/hyperlink" Target="https://www.ice.com/cds-settlement-prices/icc/single-name-instruments" TargetMode="External"/><Relationship Id="rId21" Type="http://schemas.openxmlformats.org/officeDocument/2006/relationships/hyperlink" Target="https://www.ice.com/cds-settlement-prices/icc/single-name-instruments" TargetMode="External"/><Relationship Id="rId22" Type="http://schemas.openxmlformats.org/officeDocument/2006/relationships/hyperlink" Target="https://www.ice.com/cds-settlement-prices/icc/single-name-instruments" TargetMode="External"/><Relationship Id="rId23" Type="http://schemas.openxmlformats.org/officeDocument/2006/relationships/hyperlink" Target="https://www.ice.com/cds-settlement-prices/icc/single-name-instruments" TargetMode="External"/><Relationship Id="rId24" Type="http://schemas.openxmlformats.org/officeDocument/2006/relationships/hyperlink" Target="https://www.ice.com/cds-settlement-prices/icc/single-name-instruments" TargetMode="External"/><Relationship Id="rId25" Type="http://schemas.openxmlformats.org/officeDocument/2006/relationships/hyperlink" Target="https://www.ice.com/cds-settlement-prices/icc/single-name-instruments" TargetMode="External"/><Relationship Id="rId26" Type="http://schemas.openxmlformats.org/officeDocument/2006/relationships/hyperlink" Target="https://www.ice.com/cds-settlement-prices/icc/single-name-instruments" TargetMode="External"/><Relationship Id="rId27" Type="http://schemas.openxmlformats.org/officeDocument/2006/relationships/hyperlink" Target="https://www.ice.com/cds-settlement-prices/icc/single-name-instruments" TargetMode="External"/><Relationship Id="rId28" Type="http://schemas.openxmlformats.org/officeDocument/2006/relationships/hyperlink" Target="https://www.ice.com/cds-settlement-prices/icc/single-name-instruments" TargetMode="External"/><Relationship Id="rId29" Type="http://schemas.openxmlformats.org/officeDocument/2006/relationships/hyperlink" Target="https://www.ice.com/cds-settlement-prices/icc/single-name-instruments" TargetMode="External"/><Relationship Id="rId30" Type="http://schemas.openxmlformats.org/officeDocument/2006/relationships/hyperlink" Target="https://www.ice.com/cds-settlement-prices/icc/single-name-instruments" TargetMode="External"/><Relationship Id="rId31" Type="http://schemas.openxmlformats.org/officeDocument/2006/relationships/hyperlink" Target="https://www.ice.com/cds-settlement-prices/icc/single-name-instruments" TargetMode="External"/><Relationship Id="rId32" Type="http://schemas.openxmlformats.org/officeDocument/2006/relationships/hyperlink" Target="https://www.ice.com/cds-settlement-prices/icc/single-name-instruments" TargetMode="External"/><Relationship Id="rId33" Type="http://schemas.openxmlformats.org/officeDocument/2006/relationships/hyperlink" Target="https://www.ice.com/cds-settlement-prices/icc/single-name-instruments" TargetMode="External"/><Relationship Id="rId34" Type="http://schemas.openxmlformats.org/officeDocument/2006/relationships/hyperlink" Target="https://www.ice.com/cds-settlement-prices/icc/single-name-instruments" TargetMode="External"/><Relationship Id="rId35" Type="http://schemas.openxmlformats.org/officeDocument/2006/relationships/hyperlink" Target="https://www.ice.com/cds-settlement-prices/icc/single-name-instruments" TargetMode="External"/><Relationship Id="rId36" Type="http://schemas.openxmlformats.org/officeDocument/2006/relationships/hyperlink" Target="https://www.ice.com/cds-settlement-prices/icc/single-name-instruments" TargetMode="External"/><Relationship Id="rId37" Type="http://schemas.openxmlformats.org/officeDocument/2006/relationships/hyperlink" Target="https://www.ice.com/cds-settlement-prices/icc/single-name-instruments" TargetMode="External"/><Relationship Id="rId38" Type="http://schemas.openxmlformats.org/officeDocument/2006/relationships/hyperlink" Target="https://www.ice.com/cds-settlement-prices/icc/single-name-instruments" TargetMode="External"/><Relationship Id="rId39" Type="http://schemas.openxmlformats.org/officeDocument/2006/relationships/hyperlink" Target="https://www.ice.com/cds-settlement-prices/icc/single-name-instruments" TargetMode="External"/><Relationship Id="rId40" Type="http://schemas.openxmlformats.org/officeDocument/2006/relationships/hyperlink" Target="https://www.ice.com/cds-settlement-prices/icc/single-name-instruments" TargetMode="External"/><Relationship Id="rId41" Type="http://schemas.openxmlformats.org/officeDocument/2006/relationships/hyperlink" Target="https://www.ice.com/cds-settlement-prices/icc/single-name-instruments" TargetMode="External"/><Relationship Id="rId42" Type="http://schemas.openxmlformats.org/officeDocument/2006/relationships/hyperlink" Target="https://www.ice.com/cds-settlement-prices/icc/single-name-instruments" TargetMode="External"/><Relationship Id="rId43" Type="http://schemas.openxmlformats.org/officeDocument/2006/relationships/hyperlink" Target="https://www.ice.com/cds-settlement-prices/icc/single-name-instruments" TargetMode="External"/><Relationship Id="rId44" Type="http://schemas.openxmlformats.org/officeDocument/2006/relationships/hyperlink" Target="https://www.ice.com/cds-settlement-prices/icc/single-name-instruments" TargetMode="External"/><Relationship Id="rId45" Type="http://schemas.openxmlformats.org/officeDocument/2006/relationships/hyperlink" Target="https://www.ice.com/cds-settlement-prices/icc/single-name-instruments" TargetMode="External"/><Relationship Id="rId46" Type="http://schemas.openxmlformats.org/officeDocument/2006/relationships/hyperlink" Target="https://www.ice.com/cds-settlement-prices/icc/single-name-instruments" TargetMode="External"/><Relationship Id="rId47" Type="http://schemas.openxmlformats.org/officeDocument/2006/relationships/hyperlink" Target="https://www.ice.com/cds-settlement-prices/icc/single-name-instruments" TargetMode="External"/><Relationship Id="rId48" Type="http://schemas.openxmlformats.org/officeDocument/2006/relationships/hyperlink" Target="https://www.ice.com/cds-settlement-prices/icc/single-name-instruments" TargetMode="External"/><Relationship Id="rId49" Type="http://schemas.openxmlformats.org/officeDocument/2006/relationships/hyperlink" Target="https://www.ice.com/cds-settlement-prices/icc/single-name-instruments" TargetMode="External"/><Relationship Id="rId50" Type="http://schemas.openxmlformats.org/officeDocument/2006/relationships/hyperlink" Target="https://www.ice.com/cds-settlement-prices/icc/single-name-instruments" TargetMode="External"/><Relationship Id="rId51" Type="http://schemas.openxmlformats.org/officeDocument/2006/relationships/hyperlink" Target="https://www.ice.com/cds-settlement-prices/icc/single-name-instruments" TargetMode="External"/><Relationship Id="rId52" Type="http://schemas.openxmlformats.org/officeDocument/2006/relationships/hyperlink" Target="https://www.ice.com/cds-settlement-prices/icc/single-name-instruments" TargetMode="External"/><Relationship Id="rId53" Type="http://schemas.openxmlformats.org/officeDocument/2006/relationships/hyperlink" Target="https://www.ice.com/cds-settlement-prices/icc/single-name-instruments" TargetMode="External"/><Relationship Id="rId54" Type="http://schemas.openxmlformats.org/officeDocument/2006/relationships/hyperlink" Target="https://www.ice.com/cds-settlement-prices/icc/single-name-instruments" TargetMode="External"/><Relationship Id="rId55" Type="http://schemas.openxmlformats.org/officeDocument/2006/relationships/hyperlink" Target="https://www.ice.com/cds-settlement-prices/icc/single-name-instruments" TargetMode="External"/><Relationship Id="rId56" Type="http://schemas.openxmlformats.org/officeDocument/2006/relationships/hyperlink" Target="https://www.ice.com/cds-settlement-prices/icc/single-name-instruments" TargetMode="External"/><Relationship Id="rId57" Type="http://schemas.openxmlformats.org/officeDocument/2006/relationships/hyperlink" Target="https://www.ice.com/cds-settlement-prices/icc/single-name-instruments" TargetMode="External"/><Relationship Id="rId58" Type="http://schemas.openxmlformats.org/officeDocument/2006/relationships/hyperlink" Target="https://www.ice.com/cds-settlement-prices/icc/single-name-instruments" TargetMode="External"/><Relationship Id="rId59" Type="http://schemas.openxmlformats.org/officeDocument/2006/relationships/hyperlink" Target="https://www.ice.com/cds-settlement-prices/icc/single-name-instruments" TargetMode="External"/><Relationship Id="rId60" Type="http://schemas.openxmlformats.org/officeDocument/2006/relationships/hyperlink" Target="https://www.ice.com/cds-settlement-prices/icc/single-name-instruments" TargetMode="External"/><Relationship Id="rId61" Type="http://schemas.openxmlformats.org/officeDocument/2006/relationships/hyperlink" Target="https://www.ice.com/cds-settlement-prices/icc/single-name-instruments" TargetMode="External"/><Relationship Id="rId62" Type="http://schemas.openxmlformats.org/officeDocument/2006/relationships/hyperlink" Target="https://www.ice.com/cds-settlement-prices/icc/single-name-instruments" TargetMode="External"/><Relationship Id="rId63" Type="http://schemas.openxmlformats.org/officeDocument/2006/relationships/hyperlink" Target="https://www.ice.com/cds-settlement-prices/icc/single-name-instruments" TargetMode="External"/><Relationship Id="rId64" Type="http://schemas.openxmlformats.org/officeDocument/2006/relationships/hyperlink" Target="https://www.ice.com/cds-settlement-prices/icc/single-name-instruments" TargetMode="External"/><Relationship Id="rId65" Type="http://schemas.openxmlformats.org/officeDocument/2006/relationships/hyperlink" Target="https://www.ice.com/cds-settlement-prices/icc/single-name-instruments" TargetMode="External"/><Relationship Id="rId66" Type="http://schemas.openxmlformats.org/officeDocument/2006/relationships/hyperlink" Target="https://www.ice.com/cds-settlement-prices/icc/single-name-instruments" TargetMode="External"/><Relationship Id="rId67" Type="http://schemas.openxmlformats.org/officeDocument/2006/relationships/hyperlink" Target="https://www.ice.com/cds-settlement-prices/icc/single-name-instruments" TargetMode="External"/><Relationship Id="rId68" Type="http://schemas.openxmlformats.org/officeDocument/2006/relationships/hyperlink" Target="https://www.ice.com/cds-settlement-prices/icc/single-name-instruments" TargetMode="External"/><Relationship Id="rId69" Type="http://schemas.openxmlformats.org/officeDocument/2006/relationships/hyperlink" Target="https://www.ice.com/cds-settlement-prices/icc/single-name-instruments" TargetMode="External"/><Relationship Id="rId70" Type="http://schemas.openxmlformats.org/officeDocument/2006/relationships/hyperlink" Target="https://www.ice.com/cds-settlement-prices/icc/single-name-instruments" TargetMode="External"/><Relationship Id="rId71" Type="http://schemas.openxmlformats.org/officeDocument/2006/relationships/hyperlink" Target="https://www.ice.com/cds-settlement-prices/icc/single-name-instruments" TargetMode="External"/><Relationship Id="rId72" Type="http://schemas.openxmlformats.org/officeDocument/2006/relationships/hyperlink" Target="https://www.ice.com/cds-settlement-prices/icc/single-name-instruments" TargetMode="External"/><Relationship Id="rId73" Type="http://schemas.openxmlformats.org/officeDocument/2006/relationships/hyperlink" Target="https://www.ice.com/cds-settlement-prices/icc/single-name-instruments" TargetMode="External"/><Relationship Id="rId74" Type="http://schemas.openxmlformats.org/officeDocument/2006/relationships/hyperlink" Target="https://www.ice.com/cds-settlement-prices/icc/single-name-instruments" TargetMode="External"/><Relationship Id="rId75" Type="http://schemas.openxmlformats.org/officeDocument/2006/relationships/hyperlink" Target="https://www.ice.com/cds-settlement-prices/icc/single-name-instruments" TargetMode="External"/><Relationship Id="rId76" Type="http://schemas.openxmlformats.org/officeDocument/2006/relationships/hyperlink" Target="https://www.ice.com/cds-settlement-prices/icc/single-name-instruments" TargetMode="External"/><Relationship Id="rId77" Type="http://schemas.openxmlformats.org/officeDocument/2006/relationships/hyperlink" Target="https://www.ice.com/cds-settlement-prices/icc/single-name-instruments" TargetMode="External"/><Relationship Id="rId78" Type="http://schemas.openxmlformats.org/officeDocument/2006/relationships/hyperlink" Target="https://www.ice.com/cds-settlement-prices/icc/single-name-instruments" TargetMode="External"/><Relationship Id="rId79" Type="http://schemas.openxmlformats.org/officeDocument/2006/relationships/hyperlink" Target="https://www.ice.com/cds-settlement-prices/icc/single-name-instruments" TargetMode="External"/><Relationship Id="rId80" Type="http://schemas.openxmlformats.org/officeDocument/2006/relationships/hyperlink" Target="https://www.ice.com/cds-settlement-prices/icc/single-name-instruments" TargetMode="External"/><Relationship Id="rId81" Type="http://schemas.openxmlformats.org/officeDocument/2006/relationships/hyperlink" Target="https://www.ice.com/cds-settlement-prices/icc/single-name-instruments" TargetMode="External"/><Relationship Id="rId82" Type="http://schemas.openxmlformats.org/officeDocument/2006/relationships/hyperlink" Target="https://www.ice.com/cds-settlement-prices/icc/single-name-instruments" TargetMode="External"/><Relationship Id="rId83" Type="http://schemas.openxmlformats.org/officeDocument/2006/relationships/hyperlink" Target="https://www.ice.com/cds-settlement-prices/icc/single-name-instruments" TargetMode="External"/><Relationship Id="rId84" Type="http://schemas.openxmlformats.org/officeDocument/2006/relationships/hyperlink" Target="https://www.ice.com/cds-settlement-prices/icc/single-name-instruments" TargetMode="External"/><Relationship Id="rId85" Type="http://schemas.openxmlformats.org/officeDocument/2006/relationships/hyperlink" Target="https://www.ice.com/cds-settlement-prices/icc/single-name-instruments" TargetMode="External"/><Relationship Id="rId86" Type="http://schemas.openxmlformats.org/officeDocument/2006/relationships/hyperlink" Target="https://www.ice.com/cds-settlement-prices/icc/single-name-instruments" TargetMode="External"/><Relationship Id="rId87" Type="http://schemas.openxmlformats.org/officeDocument/2006/relationships/hyperlink" Target="https://www.ice.com/cds-settlement-prices/icc/single-name-instruments" TargetMode="External"/><Relationship Id="rId88" Type="http://schemas.openxmlformats.org/officeDocument/2006/relationships/hyperlink" Target="https://www.ice.com/cds-settlement-prices/icc/single-name-instruments" TargetMode="External"/><Relationship Id="rId89" Type="http://schemas.openxmlformats.org/officeDocument/2006/relationships/hyperlink" Target="https://www.ice.com/cds-settlement-prices/icc/single-name-instruments" TargetMode="External"/><Relationship Id="rId90" Type="http://schemas.openxmlformats.org/officeDocument/2006/relationships/hyperlink" Target="https://www.ice.com/cds-settlement-prices/icc/single-name-instruments" TargetMode="External"/><Relationship Id="rId91" Type="http://schemas.openxmlformats.org/officeDocument/2006/relationships/hyperlink" Target="https://www.ice.com/cds-settlement-prices/icc/single-name-instruments" TargetMode="External"/><Relationship Id="rId92" Type="http://schemas.openxmlformats.org/officeDocument/2006/relationships/hyperlink" Target="https://www.ice.com/cds-settlement-prices/icc/single-name-instruments" TargetMode="External"/><Relationship Id="rId93" Type="http://schemas.openxmlformats.org/officeDocument/2006/relationships/hyperlink" Target="https://www.ice.com/cds-settlement-prices/icc/single-name-instruments" TargetMode="External"/><Relationship Id="rId94" Type="http://schemas.openxmlformats.org/officeDocument/2006/relationships/hyperlink" Target="https://www.ice.com/cds-settlement-prices/icc/single-name-instruments" TargetMode="External"/><Relationship Id="rId95" Type="http://schemas.openxmlformats.org/officeDocument/2006/relationships/hyperlink" Target="https://www.ice.com/cds-settlement-prices/icc/single-name-instruments" TargetMode="External"/><Relationship Id="rId96" Type="http://schemas.openxmlformats.org/officeDocument/2006/relationships/hyperlink" Target="https://www.ice.com/cds-settlement-prices/icc/single-name-instruments" TargetMode="External"/><Relationship Id="rId97" Type="http://schemas.openxmlformats.org/officeDocument/2006/relationships/hyperlink" Target="https://www.ice.com/cds-settlement-prices/icc/single-name-instruments" TargetMode="External"/><Relationship Id="rId98" Type="http://schemas.openxmlformats.org/officeDocument/2006/relationships/hyperlink" Target="https://www.ice.com/cds-settlement-prices/icc/single-name-instruments" TargetMode="External"/><Relationship Id="rId99" Type="http://schemas.openxmlformats.org/officeDocument/2006/relationships/hyperlink" Target="https://www.ice.com/cds-settlement-prices/icc/single-name-instruments" TargetMode="External"/><Relationship Id="rId100" Type="http://schemas.openxmlformats.org/officeDocument/2006/relationships/hyperlink" Target="https://www.ice.com/cds-settlement-prices/icc/single-name-instruments" TargetMode="External"/><Relationship Id="rId101" Type="http://schemas.openxmlformats.org/officeDocument/2006/relationships/hyperlink" Target="https://www.ice.com/cds-settlement-prices/icc/single-name-instruments" TargetMode="External"/><Relationship Id="rId102" Type="http://schemas.openxmlformats.org/officeDocument/2006/relationships/hyperlink" Target="https://www.ice.com/cds-settlement-prices/icc/single-name-instruments" TargetMode="External"/><Relationship Id="rId103" Type="http://schemas.openxmlformats.org/officeDocument/2006/relationships/hyperlink" Target="https://www.ice.com/cds-settlement-prices/icc/single-name-instruments" TargetMode="External"/><Relationship Id="rId104" Type="http://schemas.openxmlformats.org/officeDocument/2006/relationships/hyperlink" Target="https://www.ice.com/cds-settlement-prices/icc/single-name-instruments" TargetMode="External"/><Relationship Id="rId105" Type="http://schemas.openxmlformats.org/officeDocument/2006/relationships/hyperlink" Target="https://www.ice.com/cds-settlement-prices/icc/single-name-instruments" TargetMode="External"/><Relationship Id="rId106" Type="http://schemas.openxmlformats.org/officeDocument/2006/relationships/hyperlink" Target="https://www.ice.com/cds-settlement-prices/icc/single-name-instruments" TargetMode="External"/><Relationship Id="rId107" Type="http://schemas.openxmlformats.org/officeDocument/2006/relationships/hyperlink" Target="https://www.ice.com/cds-settlement-prices/icc/single-name-instruments" TargetMode="External"/><Relationship Id="rId108" Type="http://schemas.openxmlformats.org/officeDocument/2006/relationships/hyperlink" Target="https://www.ice.com/cds-settlement-prices/icc/single-name-instruments" TargetMode="External"/><Relationship Id="rId109" Type="http://schemas.openxmlformats.org/officeDocument/2006/relationships/hyperlink" Target="https://www.ice.com/cds-settlement-prices/icc/single-name-instruments" TargetMode="External"/><Relationship Id="rId110" Type="http://schemas.openxmlformats.org/officeDocument/2006/relationships/hyperlink" Target="https://www.ice.com/cds-settlement-prices/icc/single-name-instruments" TargetMode="External"/><Relationship Id="rId111" Type="http://schemas.openxmlformats.org/officeDocument/2006/relationships/hyperlink" Target="https://www.ice.com/cds-settlement-prices/icc/single-name-instruments" TargetMode="External"/><Relationship Id="rId112" Type="http://schemas.openxmlformats.org/officeDocument/2006/relationships/hyperlink" Target="https://www.ice.com/cds-settlement-prices/icc/single-name-instruments" TargetMode="External"/><Relationship Id="rId113" Type="http://schemas.openxmlformats.org/officeDocument/2006/relationships/hyperlink" Target="https://www.ice.com/cds-settlement-prices/icc/single-name-instruments" TargetMode="External"/><Relationship Id="rId114" Type="http://schemas.openxmlformats.org/officeDocument/2006/relationships/hyperlink" Target="https://www.ice.com/cds-settlement-prices/icc/single-name-instruments" TargetMode="External"/><Relationship Id="rId115" Type="http://schemas.openxmlformats.org/officeDocument/2006/relationships/hyperlink" Target="https://www.ice.com/cds-settlement-prices/icc/single-name-instruments" TargetMode="External"/><Relationship Id="rId116" Type="http://schemas.openxmlformats.org/officeDocument/2006/relationships/hyperlink" Target="https://www.ice.com/cds-settlement-prices/icc/single-name-instruments" TargetMode="External"/><Relationship Id="rId117" Type="http://schemas.openxmlformats.org/officeDocument/2006/relationships/hyperlink" Target="https://www.ice.com/cds-settlement-prices/icc/single-name-instruments" TargetMode="External"/><Relationship Id="rId118" Type="http://schemas.openxmlformats.org/officeDocument/2006/relationships/hyperlink" Target="https://www.ice.com/cds-settlement-prices/icc/single-name-instruments" TargetMode="External"/><Relationship Id="rId119" Type="http://schemas.openxmlformats.org/officeDocument/2006/relationships/hyperlink" Target="https://www.ice.com/cds-settlement-prices/icc/single-name-instruments" TargetMode="External"/><Relationship Id="rId120" Type="http://schemas.openxmlformats.org/officeDocument/2006/relationships/hyperlink" Target="https://www.ice.com/cds-settlement-prices/icc/single-name-instruments" TargetMode="External"/><Relationship Id="rId121" Type="http://schemas.openxmlformats.org/officeDocument/2006/relationships/hyperlink" Target="https://www.ice.com/cds-settlement-prices/icc/single-name-instruments" TargetMode="External"/><Relationship Id="rId122" Type="http://schemas.openxmlformats.org/officeDocument/2006/relationships/hyperlink" Target="https://www.ice.com/cds-settlement-prices/icc/single-name-instruments" TargetMode="External"/><Relationship Id="rId123" Type="http://schemas.openxmlformats.org/officeDocument/2006/relationships/hyperlink" Target="https://www.ice.com/cds-settlement-prices/icc/single-name-instruments" TargetMode="External"/><Relationship Id="rId124" Type="http://schemas.openxmlformats.org/officeDocument/2006/relationships/hyperlink" Target="https://www.ice.com/cds-settlement-prices/icc/single-name-instruments" TargetMode="External"/><Relationship Id="rId125" Type="http://schemas.openxmlformats.org/officeDocument/2006/relationships/hyperlink" Target="https://www.ice.com/cds-settlement-prices/icc/single-name-instruments" TargetMode="External"/><Relationship Id="rId126" Type="http://schemas.openxmlformats.org/officeDocument/2006/relationships/hyperlink" Target="https://www.ice.com/cds-settlement-prices/icc/single-name-instruments" TargetMode="External"/><Relationship Id="rId127" Type="http://schemas.openxmlformats.org/officeDocument/2006/relationships/hyperlink" Target="https://www.ice.com/cds-settlement-prices/icc/single-name-instruments" TargetMode="External"/><Relationship Id="rId128" Type="http://schemas.openxmlformats.org/officeDocument/2006/relationships/hyperlink" Target="https://www.ice.com/cds-settlement-prices/icc/single-name-instruments" TargetMode="External"/><Relationship Id="rId129" Type="http://schemas.openxmlformats.org/officeDocument/2006/relationships/hyperlink" Target="https://www.ice.com/cds-settlement-prices/icc/single-name-instruments" TargetMode="External"/><Relationship Id="rId130" Type="http://schemas.openxmlformats.org/officeDocument/2006/relationships/hyperlink" Target="https://www.ice.com/cds-settlement-prices/icc/single-name-instruments" TargetMode="External"/><Relationship Id="rId131" Type="http://schemas.openxmlformats.org/officeDocument/2006/relationships/hyperlink" Target="https://www.ice.com/cds-settlement-prices/icc/single-name-instruments" TargetMode="External"/><Relationship Id="rId132" Type="http://schemas.openxmlformats.org/officeDocument/2006/relationships/hyperlink" Target="https://www.ice.com/cds-settlement-prices/icc/single-name-instruments" TargetMode="External"/><Relationship Id="rId133" Type="http://schemas.openxmlformats.org/officeDocument/2006/relationships/hyperlink" Target="https://www.ice.com/cds-settlement-prices/icc/single-name-instruments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com/cds-settlement-prices/icc/single-name-instruments" TargetMode="External"/><Relationship Id="rId2" Type="http://schemas.openxmlformats.org/officeDocument/2006/relationships/hyperlink" Target="https://www.ice.com/cds-settlement-prices/icc/single-name-instruments" TargetMode="External"/><Relationship Id="rId3" Type="http://schemas.openxmlformats.org/officeDocument/2006/relationships/hyperlink" Target="https://www.ice.com/cds-settlement-prices/icc/single-name-instruments" TargetMode="External"/><Relationship Id="rId4" Type="http://schemas.openxmlformats.org/officeDocument/2006/relationships/hyperlink" Target="https://www.ice.com/cds-settlement-prices/icc/single-name-instruments" TargetMode="External"/><Relationship Id="rId5" Type="http://schemas.openxmlformats.org/officeDocument/2006/relationships/hyperlink" Target="https://www.ice.com/cds-settlement-prices/icc/single-name-instruments" TargetMode="External"/><Relationship Id="rId6" Type="http://schemas.openxmlformats.org/officeDocument/2006/relationships/hyperlink" Target="https://www.ice.com/cds-settlement-prices/icc/single-name-instruments" TargetMode="External"/><Relationship Id="rId7" Type="http://schemas.openxmlformats.org/officeDocument/2006/relationships/hyperlink" Target="https://www.ice.com/cds-settlement-prices/icc/single-name-instruments" TargetMode="External"/><Relationship Id="rId8" Type="http://schemas.openxmlformats.org/officeDocument/2006/relationships/hyperlink" Target="https://www.ice.com/cds-settlement-prices/icc/single-name-instruments" TargetMode="External"/><Relationship Id="rId9" Type="http://schemas.openxmlformats.org/officeDocument/2006/relationships/hyperlink" Target="https://www.ice.com/cds-settlement-prices/icc/single-name-instruments" TargetMode="External"/><Relationship Id="rId10" Type="http://schemas.openxmlformats.org/officeDocument/2006/relationships/hyperlink" Target="https://www.ice.com/cds-settlement-prices/icc/single-name-instruments" TargetMode="External"/><Relationship Id="rId11" Type="http://schemas.openxmlformats.org/officeDocument/2006/relationships/hyperlink" Target="https://www.ice.com/cds-settlement-prices/icc/single-name-instruments" TargetMode="External"/><Relationship Id="rId12" Type="http://schemas.openxmlformats.org/officeDocument/2006/relationships/hyperlink" Target="https://www.ice.com/cds-settlement-prices/icc/single-name-instruments" TargetMode="External"/><Relationship Id="rId13" Type="http://schemas.openxmlformats.org/officeDocument/2006/relationships/hyperlink" Target="https://www.ice.com/cds-settlement-prices/icc/single-name-instruments" TargetMode="External"/><Relationship Id="rId14" Type="http://schemas.openxmlformats.org/officeDocument/2006/relationships/hyperlink" Target="https://www.ice.com/cds-settlement-prices/icc/single-name-instruments" TargetMode="External"/><Relationship Id="rId15" Type="http://schemas.openxmlformats.org/officeDocument/2006/relationships/hyperlink" Target="https://www.ice.com/cds-settlement-prices/icc/single-name-instruments" TargetMode="External"/><Relationship Id="rId16" Type="http://schemas.openxmlformats.org/officeDocument/2006/relationships/hyperlink" Target="https://www.ice.com/cds-settlement-prices/icc/single-name-instruments" TargetMode="External"/><Relationship Id="rId17" Type="http://schemas.openxmlformats.org/officeDocument/2006/relationships/hyperlink" Target="https://www.ice.com/cds-settlement-prices/icc/single-name-instruments" TargetMode="External"/><Relationship Id="rId18" Type="http://schemas.openxmlformats.org/officeDocument/2006/relationships/hyperlink" Target="https://www.ice.com/cds-settlement-prices/icc/single-name-instruments" TargetMode="External"/><Relationship Id="rId19" Type="http://schemas.openxmlformats.org/officeDocument/2006/relationships/hyperlink" Target="https://www.ice.com/cds-settlement-prices/icc/single-name-instruments" TargetMode="External"/><Relationship Id="rId20" Type="http://schemas.openxmlformats.org/officeDocument/2006/relationships/hyperlink" Target="https://www.ice.com/cds-settlement-prices/icc/single-name-instruments" TargetMode="External"/><Relationship Id="rId21" Type="http://schemas.openxmlformats.org/officeDocument/2006/relationships/hyperlink" Target="https://www.ice.com/cds-settlement-prices/icc/single-name-instruments" TargetMode="External"/><Relationship Id="rId22" Type="http://schemas.openxmlformats.org/officeDocument/2006/relationships/hyperlink" Target="https://www.ice.com/cds-settlement-prices/icc/single-name-instruments" TargetMode="External"/><Relationship Id="rId23" Type="http://schemas.openxmlformats.org/officeDocument/2006/relationships/hyperlink" Target="https://www.ice.com/cds-settlement-prices/icc/single-name-instruments" TargetMode="External"/><Relationship Id="rId24" Type="http://schemas.openxmlformats.org/officeDocument/2006/relationships/hyperlink" Target="https://www.ice.com/cds-settlement-prices/icc/single-name-instruments" TargetMode="External"/><Relationship Id="rId25" Type="http://schemas.openxmlformats.org/officeDocument/2006/relationships/hyperlink" Target="https://www.ice.com/cds-settlement-prices/icc/single-name-instruments" TargetMode="External"/><Relationship Id="rId26" Type="http://schemas.openxmlformats.org/officeDocument/2006/relationships/hyperlink" Target="https://www.ice.com/cds-settlement-prices/icc/single-name-instruments" TargetMode="External"/><Relationship Id="rId27" Type="http://schemas.openxmlformats.org/officeDocument/2006/relationships/hyperlink" Target="https://www.ice.com/cds-settlement-prices/icc/single-name-instruments" TargetMode="External"/><Relationship Id="rId28" Type="http://schemas.openxmlformats.org/officeDocument/2006/relationships/hyperlink" Target="https://www.ice.com/cds-settlement-prices/icc/single-name-instruments" TargetMode="External"/><Relationship Id="rId29" Type="http://schemas.openxmlformats.org/officeDocument/2006/relationships/hyperlink" Target="https://www.ice.com/cds-settlement-prices/icc/single-name-instruments" TargetMode="External"/><Relationship Id="rId30" Type="http://schemas.openxmlformats.org/officeDocument/2006/relationships/hyperlink" Target="https://www.ice.com/cds-settlement-prices/icc/single-name-instruments" TargetMode="External"/><Relationship Id="rId31" Type="http://schemas.openxmlformats.org/officeDocument/2006/relationships/hyperlink" Target="https://www.ice.com/cds-settlement-prices/icc/single-name-instruments" TargetMode="External"/><Relationship Id="rId32" Type="http://schemas.openxmlformats.org/officeDocument/2006/relationships/hyperlink" Target="https://www.ice.com/cds-settlement-prices/icc/single-name-instruments" TargetMode="External"/><Relationship Id="rId33" Type="http://schemas.openxmlformats.org/officeDocument/2006/relationships/hyperlink" Target="https://www.ice.com/cds-settlement-prices/icc/single-name-instruments" TargetMode="External"/><Relationship Id="rId34" Type="http://schemas.openxmlformats.org/officeDocument/2006/relationships/hyperlink" Target="https://www.ice.com/cds-settlement-prices/icc/single-name-instruments" TargetMode="External"/><Relationship Id="rId35" Type="http://schemas.openxmlformats.org/officeDocument/2006/relationships/hyperlink" Target="https://www.ice.com/cds-settlement-prices/icc/single-name-instruments" TargetMode="External"/><Relationship Id="rId36" Type="http://schemas.openxmlformats.org/officeDocument/2006/relationships/hyperlink" Target="https://www.ice.com/cds-settlement-prices/icc/single-name-instruments" TargetMode="External"/><Relationship Id="rId37" Type="http://schemas.openxmlformats.org/officeDocument/2006/relationships/hyperlink" Target="https://www.ice.com/cds-settlement-prices/icc/single-name-instruments" TargetMode="External"/><Relationship Id="rId38" Type="http://schemas.openxmlformats.org/officeDocument/2006/relationships/hyperlink" Target="https://www.ice.com/cds-settlement-prices/icc/single-name-instruments" TargetMode="External"/><Relationship Id="rId39" Type="http://schemas.openxmlformats.org/officeDocument/2006/relationships/hyperlink" Target="https://www.ice.com/cds-settlement-prices/icc/single-name-instruments" TargetMode="External"/><Relationship Id="rId40" Type="http://schemas.openxmlformats.org/officeDocument/2006/relationships/hyperlink" Target="https://www.ice.com/cds-settlement-prices/icc/single-name-instruments" TargetMode="External"/><Relationship Id="rId41" Type="http://schemas.openxmlformats.org/officeDocument/2006/relationships/hyperlink" Target="https://www.ice.com/cds-settlement-prices/icc/single-name-instruments" TargetMode="External"/><Relationship Id="rId42" Type="http://schemas.openxmlformats.org/officeDocument/2006/relationships/hyperlink" Target="https://www.ice.com/cds-settlement-prices/icc/single-name-instruments" TargetMode="External"/><Relationship Id="rId43" Type="http://schemas.openxmlformats.org/officeDocument/2006/relationships/hyperlink" Target="https://www.ice.com/cds-settlement-prices/icc/single-name-instruments" TargetMode="External"/><Relationship Id="rId44" Type="http://schemas.openxmlformats.org/officeDocument/2006/relationships/hyperlink" Target="https://www.ice.com/cds-settlement-prices/icc/single-name-instruments" TargetMode="External"/><Relationship Id="rId45" Type="http://schemas.openxmlformats.org/officeDocument/2006/relationships/hyperlink" Target="https://www.ice.com/cds-settlement-prices/icc/single-name-instruments" TargetMode="External"/><Relationship Id="rId46" Type="http://schemas.openxmlformats.org/officeDocument/2006/relationships/hyperlink" Target="https://www.ice.com/cds-settlement-prices/icc/single-name-instruments" TargetMode="External"/><Relationship Id="rId47" Type="http://schemas.openxmlformats.org/officeDocument/2006/relationships/hyperlink" Target="https://www.ice.com/cds-settlement-prices/icc/single-name-instruments" TargetMode="External"/><Relationship Id="rId48" Type="http://schemas.openxmlformats.org/officeDocument/2006/relationships/hyperlink" Target="https://www.ice.com/cds-settlement-prices/icc/single-name-instruments" TargetMode="External"/><Relationship Id="rId49" Type="http://schemas.openxmlformats.org/officeDocument/2006/relationships/hyperlink" Target="https://www.ice.com/cds-settlement-prices/icc/single-name-instruments" TargetMode="External"/><Relationship Id="rId50" Type="http://schemas.openxmlformats.org/officeDocument/2006/relationships/hyperlink" Target="https://www.ice.com/cds-settlement-prices/icc/single-name-instruments" TargetMode="External"/><Relationship Id="rId51" Type="http://schemas.openxmlformats.org/officeDocument/2006/relationships/hyperlink" Target="https://www.ice.com/cds-settlement-prices/icc/single-name-instruments" TargetMode="External"/><Relationship Id="rId52" Type="http://schemas.openxmlformats.org/officeDocument/2006/relationships/hyperlink" Target="https://www.ice.com/cds-settlement-prices/icc/single-name-instruments" TargetMode="External"/><Relationship Id="rId53" Type="http://schemas.openxmlformats.org/officeDocument/2006/relationships/hyperlink" Target="https://www.ice.com/cds-settlement-prices/icc/single-name-instruments" TargetMode="External"/><Relationship Id="rId54" Type="http://schemas.openxmlformats.org/officeDocument/2006/relationships/hyperlink" Target="https://www.ice.com/cds-settlement-prices/icc/single-name-instruments" TargetMode="External"/><Relationship Id="rId55" Type="http://schemas.openxmlformats.org/officeDocument/2006/relationships/hyperlink" Target="https://www.ice.com/cds-settlement-prices/icc/single-name-instruments" TargetMode="External"/><Relationship Id="rId56" Type="http://schemas.openxmlformats.org/officeDocument/2006/relationships/hyperlink" Target="https://www.ice.com/cds-settlement-prices/icc/single-name-instruments" TargetMode="External"/><Relationship Id="rId57" Type="http://schemas.openxmlformats.org/officeDocument/2006/relationships/hyperlink" Target="https://www.ice.com/cds-settlement-prices/icc/single-name-instruments" TargetMode="External"/><Relationship Id="rId58" Type="http://schemas.openxmlformats.org/officeDocument/2006/relationships/hyperlink" Target="https://www.ice.com/cds-settlement-prices/icc/single-name-instruments" TargetMode="External"/><Relationship Id="rId59" Type="http://schemas.openxmlformats.org/officeDocument/2006/relationships/hyperlink" Target="https://www.ice.com/cds-settlement-prices/icc/single-name-instruments" TargetMode="External"/><Relationship Id="rId60" Type="http://schemas.openxmlformats.org/officeDocument/2006/relationships/hyperlink" Target="https://www.ice.com/cds-settlement-prices/icc/single-name-instruments" TargetMode="External"/><Relationship Id="rId61" Type="http://schemas.openxmlformats.org/officeDocument/2006/relationships/hyperlink" Target="https://www.ice.com/cds-settlement-prices/icc/single-name-instruments" TargetMode="External"/><Relationship Id="rId62" Type="http://schemas.openxmlformats.org/officeDocument/2006/relationships/hyperlink" Target="https://www.ice.com/cds-settlement-prices/icc/single-name-instruments" TargetMode="External"/><Relationship Id="rId63" Type="http://schemas.openxmlformats.org/officeDocument/2006/relationships/hyperlink" Target="https://www.ice.com/cds-settlement-prices/icc/single-name-instruments" TargetMode="External"/><Relationship Id="rId64" Type="http://schemas.openxmlformats.org/officeDocument/2006/relationships/hyperlink" Target="https://www.ice.com/cds-settlement-prices/icc/single-name-instruments" TargetMode="External"/><Relationship Id="rId65" Type="http://schemas.openxmlformats.org/officeDocument/2006/relationships/hyperlink" Target="https://www.ice.com/cds-settlement-prices/icc/single-name-instruments" TargetMode="External"/><Relationship Id="rId66" Type="http://schemas.openxmlformats.org/officeDocument/2006/relationships/hyperlink" Target="https://www.ice.com/cds-settlement-prices/icc/single-name-instruments" TargetMode="External"/><Relationship Id="rId67" Type="http://schemas.openxmlformats.org/officeDocument/2006/relationships/hyperlink" Target="https://www.ice.com/cds-settlement-prices/icc/single-name-instruments" TargetMode="External"/><Relationship Id="rId68" Type="http://schemas.openxmlformats.org/officeDocument/2006/relationships/hyperlink" Target="https://www.ice.com/cds-settlement-prices/icc/single-name-instruments" TargetMode="External"/><Relationship Id="rId69" Type="http://schemas.openxmlformats.org/officeDocument/2006/relationships/hyperlink" Target="https://www.ice.com/cds-settlement-prices/icc/single-name-instruments" TargetMode="External"/><Relationship Id="rId70" Type="http://schemas.openxmlformats.org/officeDocument/2006/relationships/hyperlink" Target="https://www.ice.com/cds-settlement-prices/icc/single-name-instruments" TargetMode="External"/><Relationship Id="rId71" Type="http://schemas.openxmlformats.org/officeDocument/2006/relationships/hyperlink" Target="https://www.ice.com/cds-settlement-prices/icc/single-name-instruments" TargetMode="External"/><Relationship Id="rId72" Type="http://schemas.openxmlformats.org/officeDocument/2006/relationships/hyperlink" Target="https://www.ice.com/cds-settlement-prices/icc/single-name-instruments" TargetMode="External"/><Relationship Id="rId73" Type="http://schemas.openxmlformats.org/officeDocument/2006/relationships/hyperlink" Target="https://www.ice.com/cds-settlement-prices/icc/single-name-instruments" TargetMode="External"/><Relationship Id="rId74" Type="http://schemas.openxmlformats.org/officeDocument/2006/relationships/hyperlink" Target="https://www.ice.com/cds-settlement-prices/icc/single-name-instruments" TargetMode="External"/><Relationship Id="rId75" Type="http://schemas.openxmlformats.org/officeDocument/2006/relationships/hyperlink" Target="https://www.ice.com/cds-settlement-prices/icc/single-name-instruments" TargetMode="External"/><Relationship Id="rId76" Type="http://schemas.openxmlformats.org/officeDocument/2006/relationships/hyperlink" Target="https://www.ice.com/cds-settlement-prices/icc/single-name-instruments" TargetMode="External"/><Relationship Id="rId77" Type="http://schemas.openxmlformats.org/officeDocument/2006/relationships/hyperlink" Target="https://www.ice.com/cds-settlement-prices/icc/single-name-instruments" TargetMode="External"/><Relationship Id="rId78" Type="http://schemas.openxmlformats.org/officeDocument/2006/relationships/hyperlink" Target="https://www.ice.com/cds-settlement-prices/icc/single-name-instruments" TargetMode="External"/><Relationship Id="rId79" Type="http://schemas.openxmlformats.org/officeDocument/2006/relationships/hyperlink" Target="https://www.ice.com/cds-settlement-prices/icc/single-name-instruments" TargetMode="External"/><Relationship Id="rId80" Type="http://schemas.openxmlformats.org/officeDocument/2006/relationships/hyperlink" Target="https://www.ice.com/cds-settlement-prices/icc/single-name-instruments" TargetMode="External"/><Relationship Id="rId81" Type="http://schemas.openxmlformats.org/officeDocument/2006/relationships/hyperlink" Target="https://www.ice.com/cds-settlement-prices/icc/single-name-instruments" TargetMode="External"/><Relationship Id="rId82" Type="http://schemas.openxmlformats.org/officeDocument/2006/relationships/hyperlink" Target="https://www.ice.com/cds-settlement-prices/icc/single-name-instruments" TargetMode="External"/><Relationship Id="rId83" Type="http://schemas.openxmlformats.org/officeDocument/2006/relationships/hyperlink" Target="https://www.ice.com/cds-settlement-prices/icc/single-name-instruments" TargetMode="External"/><Relationship Id="rId84" Type="http://schemas.openxmlformats.org/officeDocument/2006/relationships/hyperlink" Target="https://www.ice.com/cds-settlement-prices/icc/single-name-instruments" TargetMode="External"/><Relationship Id="rId85" Type="http://schemas.openxmlformats.org/officeDocument/2006/relationships/hyperlink" Target="https://www.ice.com/cds-settlement-prices/icc/single-name-instruments" TargetMode="External"/><Relationship Id="rId86" Type="http://schemas.openxmlformats.org/officeDocument/2006/relationships/hyperlink" Target="https://www.ice.com/cds-settlement-prices/icc/single-name-instruments" TargetMode="External"/><Relationship Id="rId87" Type="http://schemas.openxmlformats.org/officeDocument/2006/relationships/hyperlink" Target="https://www.ice.com/cds-settlement-prices/icc/single-name-instruments" TargetMode="External"/><Relationship Id="rId88" Type="http://schemas.openxmlformats.org/officeDocument/2006/relationships/hyperlink" Target="https://www.ice.com/cds-settlement-prices/icc/single-name-instruments" TargetMode="External"/><Relationship Id="rId89" Type="http://schemas.openxmlformats.org/officeDocument/2006/relationships/hyperlink" Target="https://www.ice.com/cds-settlement-prices/icc/single-name-instruments" TargetMode="External"/><Relationship Id="rId90" Type="http://schemas.openxmlformats.org/officeDocument/2006/relationships/hyperlink" Target="https://www.ice.com/cds-settlement-prices/icc/single-name-instruments" TargetMode="External"/><Relationship Id="rId91" Type="http://schemas.openxmlformats.org/officeDocument/2006/relationships/hyperlink" Target="https://www.ice.com/cds-settlement-prices/icc/single-name-instruments" TargetMode="External"/><Relationship Id="rId92" Type="http://schemas.openxmlformats.org/officeDocument/2006/relationships/hyperlink" Target="https://www.ice.com/cds-settlement-prices/icc/single-name-instruments" TargetMode="External"/><Relationship Id="rId93" Type="http://schemas.openxmlformats.org/officeDocument/2006/relationships/hyperlink" Target="https://www.ice.com/cds-settlement-prices/icc/single-name-instruments" TargetMode="External"/><Relationship Id="rId94" Type="http://schemas.openxmlformats.org/officeDocument/2006/relationships/hyperlink" Target="https://www.ice.com/cds-settlement-prices/icc/single-name-instruments" TargetMode="External"/><Relationship Id="rId95" Type="http://schemas.openxmlformats.org/officeDocument/2006/relationships/hyperlink" Target="https://www.ice.com/cds-settlement-prices/icc/single-name-instruments" TargetMode="External"/><Relationship Id="rId96" Type="http://schemas.openxmlformats.org/officeDocument/2006/relationships/hyperlink" Target="https://www.ice.com/cds-settlement-prices/icc/single-name-instruments" TargetMode="External"/><Relationship Id="rId97" Type="http://schemas.openxmlformats.org/officeDocument/2006/relationships/hyperlink" Target="https://www.ice.com/cds-settlement-prices/icc/single-name-instruments" TargetMode="External"/><Relationship Id="rId98" Type="http://schemas.openxmlformats.org/officeDocument/2006/relationships/hyperlink" Target="https://www.ice.com/cds-settlement-prices/icc/single-name-instruments" TargetMode="External"/><Relationship Id="rId99" Type="http://schemas.openxmlformats.org/officeDocument/2006/relationships/hyperlink" Target="https://www.ice.com/cds-settlement-prices/icc/single-name-instruments" TargetMode="External"/><Relationship Id="rId100" Type="http://schemas.openxmlformats.org/officeDocument/2006/relationships/hyperlink" Target="https://www.ice.com/cds-settlement-prices/icc/single-name-instruments" TargetMode="External"/><Relationship Id="rId101" Type="http://schemas.openxmlformats.org/officeDocument/2006/relationships/hyperlink" Target="https://www.ice.com/cds-settlement-prices/icc/single-name-instruments" TargetMode="External"/><Relationship Id="rId102" Type="http://schemas.openxmlformats.org/officeDocument/2006/relationships/hyperlink" Target="https://www.ice.com/cds-settlement-prices/icc/single-name-instruments" TargetMode="External"/><Relationship Id="rId103" Type="http://schemas.openxmlformats.org/officeDocument/2006/relationships/hyperlink" Target="https://www.ice.com/cds-settlement-prices/icc/single-name-instruments" TargetMode="External"/><Relationship Id="rId104" Type="http://schemas.openxmlformats.org/officeDocument/2006/relationships/hyperlink" Target="https://www.ice.com/cds-settlement-prices/icc/single-name-instruments" TargetMode="External"/><Relationship Id="rId105" Type="http://schemas.openxmlformats.org/officeDocument/2006/relationships/hyperlink" Target="https://www.ice.com/cds-settlement-prices/icc/single-name-instruments" TargetMode="External"/><Relationship Id="rId106" Type="http://schemas.openxmlformats.org/officeDocument/2006/relationships/hyperlink" Target="https://www.ice.com/cds-settlement-prices/icc/single-name-instruments" TargetMode="External"/><Relationship Id="rId107" Type="http://schemas.openxmlformats.org/officeDocument/2006/relationships/hyperlink" Target="https://www.ice.com/cds-settlement-prices/icc/single-name-instruments" TargetMode="External"/><Relationship Id="rId108" Type="http://schemas.openxmlformats.org/officeDocument/2006/relationships/hyperlink" Target="https://www.ice.com/cds-settlement-prices/icc/single-name-instruments" TargetMode="External"/><Relationship Id="rId109" Type="http://schemas.openxmlformats.org/officeDocument/2006/relationships/hyperlink" Target="https://www.ice.com/cds-settlement-prices/icc/single-name-instruments" TargetMode="External"/><Relationship Id="rId110" Type="http://schemas.openxmlformats.org/officeDocument/2006/relationships/hyperlink" Target="https://www.ice.com/cds-settlement-prices/icc/single-name-instruments" TargetMode="External"/><Relationship Id="rId111" Type="http://schemas.openxmlformats.org/officeDocument/2006/relationships/hyperlink" Target="https://www.ice.com/cds-settlement-prices/icc/single-name-instruments" TargetMode="External"/><Relationship Id="rId112" Type="http://schemas.openxmlformats.org/officeDocument/2006/relationships/hyperlink" Target="https://www.ice.com/cds-settlement-prices/icc/single-name-instruments" TargetMode="External"/><Relationship Id="rId113" Type="http://schemas.openxmlformats.org/officeDocument/2006/relationships/hyperlink" Target="https://www.ice.com/cds-settlement-prices/icc/single-name-instruments" TargetMode="External"/><Relationship Id="rId114" Type="http://schemas.openxmlformats.org/officeDocument/2006/relationships/hyperlink" Target="https://www.ice.com/cds-settlement-prices/icc/single-name-instruments" TargetMode="External"/><Relationship Id="rId115" Type="http://schemas.openxmlformats.org/officeDocument/2006/relationships/hyperlink" Target="https://www.ice.com/cds-settlement-prices/icc/single-name-instruments" TargetMode="External"/><Relationship Id="rId116" Type="http://schemas.openxmlformats.org/officeDocument/2006/relationships/hyperlink" Target="https://www.ice.com/cds-settlement-prices/icc/single-name-instruments" TargetMode="External"/><Relationship Id="rId117" Type="http://schemas.openxmlformats.org/officeDocument/2006/relationships/hyperlink" Target="https://www.ice.com/cds-settlement-prices/icc/single-name-instruments" TargetMode="External"/><Relationship Id="rId118" Type="http://schemas.openxmlformats.org/officeDocument/2006/relationships/hyperlink" Target="https://www.ice.com/cds-settlement-prices/icc/single-name-instruments" TargetMode="External"/><Relationship Id="rId119" Type="http://schemas.openxmlformats.org/officeDocument/2006/relationships/hyperlink" Target="https://www.ice.com/cds-settlement-prices/icc/single-name-instruments" TargetMode="External"/><Relationship Id="rId120" Type="http://schemas.openxmlformats.org/officeDocument/2006/relationships/hyperlink" Target="https://www.ice.com/cds-settlement-prices/icc/single-name-instruments" TargetMode="External"/><Relationship Id="rId121" Type="http://schemas.openxmlformats.org/officeDocument/2006/relationships/hyperlink" Target="https://www.ice.com/cds-settlement-prices/icc/single-name-instruments" TargetMode="External"/><Relationship Id="rId122" Type="http://schemas.openxmlformats.org/officeDocument/2006/relationships/hyperlink" Target="https://www.ice.com/cds-settlement-prices/icc/single-name-instruments" TargetMode="External"/><Relationship Id="rId123" Type="http://schemas.openxmlformats.org/officeDocument/2006/relationships/hyperlink" Target="https://www.ice.com/cds-settlement-prices/icc/single-name-instruments" TargetMode="External"/><Relationship Id="rId124" Type="http://schemas.openxmlformats.org/officeDocument/2006/relationships/hyperlink" Target="https://www.ice.com/cds-settlement-prices/icc/single-name-instruments" TargetMode="External"/><Relationship Id="rId125" Type="http://schemas.openxmlformats.org/officeDocument/2006/relationships/hyperlink" Target="https://www.ice.com/cds-settlement-prices/icc/single-name-instruments" TargetMode="External"/><Relationship Id="rId126" Type="http://schemas.openxmlformats.org/officeDocument/2006/relationships/hyperlink" Target="https://www.ice.com/cds-settlement-prices/icc/single-name-instruments" TargetMode="External"/><Relationship Id="rId127" Type="http://schemas.openxmlformats.org/officeDocument/2006/relationships/hyperlink" Target="https://www.ice.com/cds-settlement-prices/icc/single-name-instruments" TargetMode="External"/><Relationship Id="rId128" Type="http://schemas.openxmlformats.org/officeDocument/2006/relationships/hyperlink" Target="https://www.ice.com/cds-settlement-prices/icc/single-name-instruments" TargetMode="External"/><Relationship Id="rId129" Type="http://schemas.openxmlformats.org/officeDocument/2006/relationships/hyperlink" Target="https://www.ice.com/cds-settlement-prices/icc/single-name-instruments" TargetMode="External"/><Relationship Id="rId130" Type="http://schemas.openxmlformats.org/officeDocument/2006/relationships/hyperlink" Target="https://www.ice.com/cds-settlement-prices/icc/single-name-instruments" TargetMode="External"/><Relationship Id="rId131" Type="http://schemas.openxmlformats.org/officeDocument/2006/relationships/hyperlink" Target="https://www.ice.com/cds-settlement-prices/icc/single-name-instruments" TargetMode="External"/><Relationship Id="rId132" Type="http://schemas.openxmlformats.org/officeDocument/2006/relationships/hyperlink" Target="https://www.ice.com/cds-settlement-prices/icc/single-name-instruments" TargetMode="External"/><Relationship Id="rId133" Type="http://schemas.openxmlformats.org/officeDocument/2006/relationships/hyperlink" Target="https://www.ice.com/cds-settlement-prices/icc/single-name-instruments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com/cds-settlement-prices/icc/single-name-instruments" TargetMode="External"/><Relationship Id="rId2" Type="http://schemas.openxmlformats.org/officeDocument/2006/relationships/hyperlink" Target="https://www.ice.com/cds-settlement-prices/icc/single-name-instruments" TargetMode="External"/><Relationship Id="rId3" Type="http://schemas.openxmlformats.org/officeDocument/2006/relationships/hyperlink" Target="https://www.ice.com/cds-settlement-prices/icc/single-name-instruments" TargetMode="External"/><Relationship Id="rId4" Type="http://schemas.openxmlformats.org/officeDocument/2006/relationships/hyperlink" Target="https://www.ice.com/cds-settlement-prices/icc/single-name-instruments" TargetMode="External"/><Relationship Id="rId5" Type="http://schemas.openxmlformats.org/officeDocument/2006/relationships/hyperlink" Target="https://www.ice.com/cds-settlement-prices/icc/single-name-instruments" TargetMode="External"/><Relationship Id="rId6" Type="http://schemas.openxmlformats.org/officeDocument/2006/relationships/hyperlink" Target="https://www.ice.com/cds-settlement-prices/icc/single-name-instruments" TargetMode="External"/><Relationship Id="rId7" Type="http://schemas.openxmlformats.org/officeDocument/2006/relationships/hyperlink" Target="https://www.ice.com/cds-settlement-prices/icc/single-name-instruments" TargetMode="External"/><Relationship Id="rId8" Type="http://schemas.openxmlformats.org/officeDocument/2006/relationships/hyperlink" Target="https://www.ice.com/cds-settlement-prices/icc/single-name-instruments" TargetMode="External"/><Relationship Id="rId9" Type="http://schemas.openxmlformats.org/officeDocument/2006/relationships/hyperlink" Target="https://www.ice.com/cds-settlement-prices/icc/single-name-instruments" TargetMode="External"/><Relationship Id="rId10" Type="http://schemas.openxmlformats.org/officeDocument/2006/relationships/hyperlink" Target="https://www.ice.com/cds-settlement-prices/icc/single-name-instruments" TargetMode="External"/><Relationship Id="rId11" Type="http://schemas.openxmlformats.org/officeDocument/2006/relationships/hyperlink" Target="https://www.ice.com/cds-settlement-prices/icc/single-name-instruments" TargetMode="External"/><Relationship Id="rId12" Type="http://schemas.openxmlformats.org/officeDocument/2006/relationships/hyperlink" Target="https://www.ice.com/cds-settlement-prices/icc/single-name-instruments" TargetMode="External"/><Relationship Id="rId13" Type="http://schemas.openxmlformats.org/officeDocument/2006/relationships/hyperlink" Target="https://www.ice.com/cds-settlement-prices/icc/single-name-instruments" TargetMode="External"/><Relationship Id="rId14" Type="http://schemas.openxmlformats.org/officeDocument/2006/relationships/hyperlink" Target="https://www.ice.com/cds-settlement-prices/icc/single-name-instruments" TargetMode="External"/><Relationship Id="rId15" Type="http://schemas.openxmlformats.org/officeDocument/2006/relationships/hyperlink" Target="https://www.ice.com/cds-settlement-prices/icc/single-name-instruments" TargetMode="External"/><Relationship Id="rId16" Type="http://schemas.openxmlformats.org/officeDocument/2006/relationships/hyperlink" Target="https://www.ice.com/cds-settlement-prices/icc/single-name-instruments" TargetMode="External"/><Relationship Id="rId17" Type="http://schemas.openxmlformats.org/officeDocument/2006/relationships/hyperlink" Target="https://www.ice.com/cds-settlement-prices/icc/single-name-instruments" TargetMode="External"/><Relationship Id="rId18" Type="http://schemas.openxmlformats.org/officeDocument/2006/relationships/hyperlink" Target="https://www.ice.com/cds-settlement-prices/icc/single-name-instruments" TargetMode="External"/><Relationship Id="rId19" Type="http://schemas.openxmlformats.org/officeDocument/2006/relationships/hyperlink" Target="https://www.ice.com/cds-settlement-prices/icc/single-name-instruments" TargetMode="External"/><Relationship Id="rId20" Type="http://schemas.openxmlformats.org/officeDocument/2006/relationships/hyperlink" Target="https://www.ice.com/cds-settlement-prices/icc/single-name-instruments" TargetMode="External"/><Relationship Id="rId21" Type="http://schemas.openxmlformats.org/officeDocument/2006/relationships/hyperlink" Target="https://www.ice.com/cds-settlement-prices/icc/single-name-instruments" TargetMode="External"/><Relationship Id="rId22" Type="http://schemas.openxmlformats.org/officeDocument/2006/relationships/hyperlink" Target="https://www.ice.com/cds-settlement-prices/icc/single-name-instruments" TargetMode="External"/><Relationship Id="rId23" Type="http://schemas.openxmlformats.org/officeDocument/2006/relationships/hyperlink" Target="https://www.ice.com/cds-settlement-prices/icc/single-name-instruments" TargetMode="External"/><Relationship Id="rId24" Type="http://schemas.openxmlformats.org/officeDocument/2006/relationships/hyperlink" Target="https://www.ice.com/cds-settlement-prices/icc/single-name-instruments" TargetMode="External"/><Relationship Id="rId25" Type="http://schemas.openxmlformats.org/officeDocument/2006/relationships/hyperlink" Target="https://www.ice.com/cds-settlement-prices/icc/single-name-instruments" TargetMode="External"/><Relationship Id="rId26" Type="http://schemas.openxmlformats.org/officeDocument/2006/relationships/hyperlink" Target="https://www.ice.com/cds-settlement-prices/icc/single-name-instruments" TargetMode="External"/><Relationship Id="rId27" Type="http://schemas.openxmlformats.org/officeDocument/2006/relationships/hyperlink" Target="https://www.ice.com/cds-settlement-prices/icc/single-name-instruments" TargetMode="External"/><Relationship Id="rId28" Type="http://schemas.openxmlformats.org/officeDocument/2006/relationships/hyperlink" Target="https://www.ice.com/cds-settlement-prices/icc/single-name-instruments" TargetMode="External"/><Relationship Id="rId29" Type="http://schemas.openxmlformats.org/officeDocument/2006/relationships/hyperlink" Target="https://www.ice.com/cds-settlement-prices/icc/single-name-instruments" TargetMode="External"/><Relationship Id="rId30" Type="http://schemas.openxmlformats.org/officeDocument/2006/relationships/hyperlink" Target="https://www.ice.com/cds-settlement-prices/icc/single-name-instruments" TargetMode="External"/><Relationship Id="rId31" Type="http://schemas.openxmlformats.org/officeDocument/2006/relationships/hyperlink" Target="https://www.ice.com/cds-settlement-prices/icc/single-name-instruments" TargetMode="External"/><Relationship Id="rId32" Type="http://schemas.openxmlformats.org/officeDocument/2006/relationships/hyperlink" Target="https://www.ice.com/cds-settlement-prices/icc/single-name-instruments" TargetMode="External"/><Relationship Id="rId33" Type="http://schemas.openxmlformats.org/officeDocument/2006/relationships/hyperlink" Target="https://www.ice.com/cds-settlement-prices/icc/single-name-instruments" TargetMode="External"/><Relationship Id="rId34" Type="http://schemas.openxmlformats.org/officeDocument/2006/relationships/hyperlink" Target="https://www.ice.com/cds-settlement-prices/icc/single-name-instruments" TargetMode="External"/><Relationship Id="rId35" Type="http://schemas.openxmlformats.org/officeDocument/2006/relationships/hyperlink" Target="https://www.ice.com/cds-settlement-prices/icc/single-name-instruments" TargetMode="External"/><Relationship Id="rId36" Type="http://schemas.openxmlformats.org/officeDocument/2006/relationships/hyperlink" Target="https://www.ice.com/cds-settlement-prices/icc/single-name-instruments" TargetMode="External"/><Relationship Id="rId37" Type="http://schemas.openxmlformats.org/officeDocument/2006/relationships/hyperlink" Target="https://www.ice.com/cds-settlement-prices/icc/single-name-instruments" TargetMode="External"/><Relationship Id="rId38" Type="http://schemas.openxmlformats.org/officeDocument/2006/relationships/hyperlink" Target="https://www.ice.com/cds-settlement-prices/icc/single-name-instruments" TargetMode="External"/><Relationship Id="rId39" Type="http://schemas.openxmlformats.org/officeDocument/2006/relationships/hyperlink" Target="https://www.ice.com/cds-settlement-prices/icc/single-name-instruments" TargetMode="External"/><Relationship Id="rId40" Type="http://schemas.openxmlformats.org/officeDocument/2006/relationships/hyperlink" Target="https://www.ice.com/cds-settlement-prices/icc/single-name-instruments" TargetMode="External"/><Relationship Id="rId41" Type="http://schemas.openxmlformats.org/officeDocument/2006/relationships/hyperlink" Target="https://www.ice.com/cds-settlement-prices/icc/single-name-instruments" TargetMode="External"/><Relationship Id="rId42" Type="http://schemas.openxmlformats.org/officeDocument/2006/relationships/hyperlink" Target="https://www.ice.com/cds-settlement-prices/icc/single-name-instruments" TargetMode="External"/><Relationship Id="rId43" Type="http://schemas.openxmlformats.org/officeDocument/2006/relationships/hyperlink" Target="https://www.ice.com/cds-settlement-prices/icc/single-name-instruments" TargetMode="External"/><Relationship Id="rId44" Type="http://schemas.openxmlformats.org/officeDocument/2006/relationships/hyperlink" Target="https://www.ice.com/cds-settlement-prices/icc/single-name-instruments" TargetMode="External"/><Relationship Id="rId45" Type="http://schemas.openxmlformats.org/officeDocument/2006/relationships/hyperlink" Target="https://www.ice.com/cds-settlement-prices/icc/single-name-instruments" TargetMode="External"/><Relationship Id="rId46" Type="http://schemas.openxmlformats.org/officeDocument/2006/relationships/hyperlink" Target="https://www.ice.com/cds-settlement-prices/icc/single-name-instruments" TargetMode="External"/><Relationship Id="rId47" Type="http://schemas.openxmlformats.org/officeDocument/2006/relationships/hyperlink" Target="https://www.ice.com/cds-settlement-prices/icc/single-name-instruments" TargetMode="External"/><Relationship Id="rId48" Type="http://schemas.openxmlformats.org/officeDocument/2006/relationships/hyperlink" Target="https://www.ice.com/cds-settlement-prices/icc/single-name-instruments" TargetMode="External"/><Relationship Id="rId49" Type="http://schemas.openxmlformats.org/officeDocument/2006/relationships/hyperlink" Target="https://www.ice.com/cds-settlement-prices/icc/single-name-instruments" TargetMode="External"/><Relationship Id="rId50" Type="http://schemas.openxmlformats.org/officeDocument/2006/relationships/hyperlink" Target="https://www.ice.com/cds-settlement-prices/icc/single-name-instruments" TargetMode="External"/><Relationship Id="rId51" Type="http://schemas.openxmlformats.org/officeDocument/2006/relationships/hyperlink" Target="https://www.ice.com/cds-settlement-prices/icc/single-name-instruments" TargetMode="External"/><Relationship Id="rId52" Type="http://schemas.openxmlformats.org/officeDocument/2006/relationships/hyperlink" Target="https://www.ice.com/cds-settlement-prices/icc/single-name-instruments" TargetMode="External"/><Relationship Id="rId53" Type="http://schemas.openxmlformats.org/officeDocument/2006/relationships/hyperlink" Target="https://www.ice.com/cds-settlement-prices/icc/single-name-instruments" TargetMode="External"/><Relationship Id="rId54" Type="http://schemas.openxmlformats.org/officeDocument/2006/relationships/hyperlink" Target="https://www.ice.com/cds-settlement-prices/icc/single-name-instruments" TargetMode="External"/><Relationship Id="rId55" Type="http://schemas.openxmlformats.org/officeDocument/2006/relationships/hyperlink" Target="https://www.ice.com/cds-settlement-prices/icc/single-name-instruments" TargetMode="External"/><Relationship Id="rId56" Type="http://schemas.openxmlformats.org/officeDocument/2006/relationships/hyperlink" Target="https://www.ice.com/cds-settlement-prices/icc/single-name-instruments" TargetMode="External"/><Relationship Id="rId57" Type="http://schemas.openxmlformats.org/officeDocument/2006/relationships/hyperlink" Target="https://www.ice.com/cds-settlement-prices/icc/single-name-instruments" TargetMode="External"/><Relationship Id="rId58" Type="http://schemas.openxmlformats.org/officeDocument/2006/relationships/hyperlink" Target="https://www.ice.com/cds-settlement-prices/icc/single-name-instruments" TargetMode="External"/><Relationship Id="rId59" Type="http://schemas.openxmlformats.org/officeDocument/2006/relationships/hyperlink" Target="https://www.ice.com/cds-settlement-prices/icc/single-name-instruments" TargetMode="External"/><Relationship Id="rId60" Type="http://schemas.openxmlformats.org/officeDocument/2006/relationships/hyperlink" Target="https://www.ice.com/cds-settlement-prices/icc/single-name-instruments" TargetMode="External"/><Relationship Id="rId61" Type="http://schemas.openxmlformats.org/officeDocument/2006/relationships/hyperlink" Target="https://www.ice.com/cds-settlement-prices/icc/single-name-instruments" TargetMode="External"/><Relationship Id="rId62" Type="http://schemas.openxmlformats.org/officeDocument/2006/relationships/hyperlink" Target="https://www.ice.com/cds-settlement-prices/icc/single-name-instruments" TargetMode="External"/><Relationship Id="rId63" Type="http://schemas.openxmlformats.org/officeDocument/2006/relationships/hyperlink" Target="https://www.ice.com/cds-settlement-prices/icc/single-name-instruments" TargetMode="External"/><Relationship Id="rId64" Type="http://schemas.openxmlformats.org/officeDocument/2006/relationships/hyperlink" Target="https://www.ice.com/cds-settlement-prices/icc/single-name-instruments" TargetMode="External"/><Relationship Id="rId65" Type="http://schemas.openxmlformats.org/officeDocument/2006/relationships/hyperlink" Target="https://www.ice.com/cds-settlement-prices/icc/single-name-instruments" TargetMode="External"/><Relationship Id="rId66" Type="http://schemas.openxmlformats.org/officeDocument/2006/relationships/hyperlink" Target="https://www.ice.com/cds-settlement-prices/icc/single-name-instruments" TargetMode="External"/><Relationship Id="rId67" Type="http://schemas.openxmlformats.org/officeDocument/2006/relationships/hyperlink" Target="https://www.ice.com/cds-settlement-prices/icc/single-name-instruments" TargetMode="External"/><Relationship Id="rId68" Type="http://schemas.openxmlformats.org/officeDocument/2006/relationships/hyperlink" Target="https://www.ice.com/cds-settlement-prices/icc/single-name-instruments" TargetMode="External"/><Relationship Id="rId69" Type="http://schemas.openxmlformats.org/officeDocument/2006/relationships/hyperlink" Target="https://www.ice.com/cds-settlement-prices/icc/single-name-instruments" TargetMode="External"/><Relationship Id="rId70" Type="http://schemas.openxmlformats.org/officeDocument/2006/relationships/hyperlink" Target="https://www.ice.com/cds-settlement-prices/icc/single-name-instruments" TargetMode="External"/><Relationship Id="rId71" Type="http://schemas.openxmlformats.org/officeDocument/2006/relationships/hyperlink" Target="https://www.ice.com/cds-settlement-prices/icc/single-name-instruments" TargetMode="External"/><Relationship Id="rId72" Type="http://schemas.openxmlformats.org/officeDocument/2006/relationships/hyperlink" Target="https://www.ice.com/cds-settlement-prices/icc/single-name-instruments" TargetMode="External"/><Relationship Id="rId73" Type="http://schemas.openxmlformats.org/officeDocument/2006/relationships/hyperlink" Target="https://www.ice.com/cds-settlement-prices/icc/single-name-instruments" TargetMode="External"/><Relationship Id="rId74" Type="http://schemas.openxmlformats.org/officeDocument/2006/relationships/hyperlink" Target="https://www.ice.com/cds-settlement-prices/icc/single-name-instruments" TargetMode="External"/><Relationship Id="rId75" Type="http://schemas.openxmlformats.org/officeDocument/2006/relationships/hyperlink" Target="https://www.ice.com/cds-settlement-prices/icc/single-name-instruments" TargetMode="External"/><Relationship Id="rId76" Type="http://schemas.openxmlformats.org/officeDocument/2006/relationships/hyperlink" Target="https://www.ice.com/cds-settlement-prices/icc/single-name-instruments" TargetMode="External"/><Relationship Id="rId77" Type="http://schemas.openxmlformats.org/officeDocument/2006/relationships/hyperlink" Target="https://www.ice.com/cds-settlement-prices/icc/single-name-instruments" TargetMode="External"/><Relationship Id="rId78" Type="http://schemas.openxmlformats.org/officeDocument/2006/relationships/hyperlink" Target="https://www.ice.com/cds-settlement-prices/icc/single-name-instruments" TargetMode="External"/><Relationship Id="rId79" Type="http://schemas.openxmlformats.org/officeDocument/2006/relationships/hyperlink" Target="https://www.ice.com/cds-settlement-prices/icc/single-name-instruments" TargetMode="External"/><Relationship Id="rId80" Type="http://schemas.openxmlformats.org/officeDocument/2006/relationships/hyperlink" Target="https://www.ice.com/cds-settlement-prices/icc/single-name-instruments" TargetMode="External"/><Relationship Id="rId81" Type="http://schemas.openxmlformats.org/officeDocument/2006/relationships/hyperlink" Target="https://www.ice.com/cds-settlement-prices/icc/single-name-instruments" TargetMode="External"/><Relationship Id="rId82" Type="http://schemas.openxmlformats.org/officeDocument/2006/relationships/hyperlink" Target="https://www.ice.com/cds-settlement-prices/icc/single-name-instruments" TargetMode="External"/><Relationship Id="rId83" Type="http://schemas.openxmlformats.org/officeDocument/2006/relationships/hyperlink" Target="https://www.ice.com/cds-settlement-prices/icc/single-name-instruments" TargetMode="External"/><Relationship Id="rId84" Type="http://schemas.openxmlformats.org/officeDocument/2006/relationships/hyperlink" Target="https://www.ice.com/cds-settlement-prices/icc/single-name-instruments" TargetMode="External"/><Relationship Id="rId85" Type="http://schemas.openxmlformats.org/officeDocument/2006/relationships/hyperlink" Target="https://www.ice.com/cds-settlement-prices/icc/single-name-instruments" TargetMode="External"/><Relationship Id="rId86" Type="http://schemas.openxmlformats.org/officeDocument/2006/relationships/hyperlink" Target="https://www.ice.com/cds-settlement-prices/icc/single-name-instruments" TargetMode="External"/><Relationship Id="rId87" Type="http://schemas.openxmlformats.org/officeDocument/2006/relationships/hyperlink" Target="https://www.ice.com/cds-settlement-prices/icc/single-name-instruments" TargetMode="External"/><Relationship Id="rId88" Type="http://schemas.openxmlformats.org/officeDocument/2006/relationships/hyperlink" Target="https://www.ice.com/cds-settlement-prices/icc/single-name-instruments" TargetMode="External"/><Relationship Id="rId89" Type="http://schemas.openxmlformats.org/officeDocument/2006/relationships/hyperlink" Target="https://www.ice.com/cds-settlement-prices/icc/single-name-instruments" TargetMode="External"/><Relationship Id="rId90" Type="http://schemas.openxmlformats.org/officeDocument/2006/relationships/hyperlink" Target="https://www.ice.com/cds-settlement-prices/icc/single-name-instruments" TargetMode="External"/><Relationship Id="rId91" Type="http://schemas.openxmlformats.org/officeDocument/2006/relationships/hyperlink" Target="https://www.ice.com/cds-settlement-prices/icc/single-name-instruments" TargetMode="External"/><Relationship Id="rId92" Type="http://schemas.openxmlformats.org/officeDocument/2006/relationships/hyperlink" Target="https://www.ice.com/cds-settlement-prices/icc/single-name-instruments" TargetMode="External"/><Relationship Id="rId93" Type="http://schemas.openxmlformats.org/officeDocument/2006/relationships/hyperlink" Target="https://www.ice.com/cds-settlement-prices/icc/single-name-instruments" TargetMode="External"/><Relationship Id="rId94" Type="http://schemas.openxmlformats.org/officeDocument/2006/relationships/hyperlink" Target="https://www.ice.com/cds-settlement-prices/icc/single-name-instruments" TargetMode="External"/><Relationship Id="rId95" Type="http://schemas.openxmlformats.org/officeDocument/2006/relationships/hyperlink" Target="https://www.ice.com/cds-settlement-prices/icc/single-name-instruments" TargetMode="External"/><Relationship Id="rId96" Type="http://schemas.openxmlformats.org/officeDocument/2006/relationships/hyperlink" Target="https://www.ice.com/cds-settlement-prices/icc/single-name-instruments" TargetMode="External"/><Relationship Id="rId97" Type="http://schemas.openxmlformats.org/officeDocument/2006/relationships/hyperlink" Target="https://www.ice.com/cds-settlement-prices/icc/single-name-instruments" TargetMode="External"/><Relationship Id="rId98" Type="http://schemas.openxmlformats.org/officeDocument/2006/relationships/hyperlink" Target="https://www.ice.com/cds-settlement-prices/icc/single-name-instruments" TargetMode="External"/><Relationship Id="rId99" Type="http://schemas.openxmlformats.org/officeDocument/2006/relationships/hyperlink" Target="https://www.ice.com/cds-settlement-prices/icc/single-name-instruments" TargetMode="External"/><Relationship Id="rId100" Type="http://schemas.openxmlformats.org/officeDocument/2006/relationships/hyperlink" Target="https://www.ice.com/cds-settlement-prices/icc/single-name-instruments" TargetMode="External"/><Relationship Id="rId101" Type="http://schemas.openxmlformats.org/officeDocument/2006/relationships/hyperlink" Target="https://www.ice.com/cds-settlement-prices/icc/single-name-instruments" TargetMode="External"/><Relationship Id="rId102" Type="http://schemas.openxmlformats.org/officeDocument/2006/relationships/hyperlink" Target="https://www.ice.com/cds-settlement-prices/icc/single-name-instruments" TargetMode="External"/><Relationship Id="rId103" Type="http://schemas.openxmlformats.org/officeDocument/2006/relationships/hyperlink" Target="https://www.ice.com/cds-settlement-prices/icc/single-name-instruments" TargetMode="External"/><Relationship Id="rId104" Type="http://schemas.openxmlformats.org/officeDocument/2006/relationships/hyperlink" Target="https://www.ice.com/cds-settlement-prices/icc/single-name-instruments" TargetMode="External"/><Relationship Id="rId105" Type="http://schemas.openxmlformats.org/officeDocument/2006/relationships/hyperlink" Target="https://www.ice.com/cds-settlement-prices/icc/single-name-instruments" TargetMode="External"/><Relationship Id="rId106" Type="http://schemas.openxmlformats.org/officeDocument/2006/relationships/hyperlink" Target="https://www.ice.com/cds-settlement-prices/icc/single-name-instruments" TargetMode="External"/><Relationship Id="rId107" Type="http://schemas.openxmlformats.org/officeDocument/2006/relationships/hyperlink" Target="https://www.ice.com/cds-settlement-prices/icc/single-name-instruments" TargetMode="External"/><Relationship Id="rId108" Type="http://schemas.openxmlformats.org/officeDocument/2006/relationships/hyperlink" Target="https://www.ice.com/cds-settlement-prices/icc/single-name-instruments" TargetMode="External"/><Relationship Id="rId109" Type="http://schemas.openxmlformats.org/officeDocument/2006/relationships/hyperlink" Target="https://www.ice.com/cds-settlement-prices/icc/single-name-instruments" TargetMode="External"/><Relationship Id="rId110" Type="http://schemas.openxmlformats.org/officeDocument/2006/relationships/hyperlink" Target="https://www.ice.com/cds-settlement-prices/icc/single-name-instruments" TargetMode="External"/><Relationship Id="rId111" Type="http://schemas.openxmlformats.org/officeDocument/2006/relationships/hyperlink" Target="https://www.ice.com/cds-settlement-prices/icc/single-name-instruments" TargetMode="External"/><Relationship Id="rId112" Type="http://schemas.openxmlformats.org/officeDocument/2006/relationships/hyperlink" Target="https://www.ice.com/cds-settlement-prices/icc/single-name-instruments" TargetMode="External"/><Relationship Id="rId113" Type="http://schemas.openxmlformats.org/officeDocument/2006/relationships/hyperlink" Target="https://www.ice.com/cds-settlement-prices/icc/single-name-instruments" TargetMode="External"/><Relationship Id="rId114" Type="http://schemas.openxmlformats.org/officeDocument/2006/relationships/hyperlink" Target="https://www.ice.com/cds-settlement-prices/icc/single-name-instruments" TargetMode="External"/><Relationship Id="rId115" Type="http://schemas.openxmlformats.org/officeDocument/2006/relationships/hyperlink" Target="https://www.ice.com/cds-settlement-prices/icc/single-name-instruments" TargetMode="External"/><Relationship Id="rId116" Type="http://schemas.openxmlformats.org/officeDocument/2006/relationships/hyperlink" Target="https://www.ice.com/cds-settlement-prices/icc/single-name-instruments" TargetMode="External"/><Relationship Id="rId117" Type="http://schemas.openxmlformats.org/officeDocument/2006/relationships/hyperlink" Target="https://www.ice.com/cds-settlement-prices/icc/single-name-instruments" TargetMode="External"/><Relationship Id="rId118" Type="http://schemas.openxmlformats.org/officeDocument/2006/relationships/hyperlink" Target="https://www.ice.com/cds-settlement-prices/icc/single-name-instruments" TargetMode="External"/><Relationship Id="rId119" Type="http://schemas.openxmlformats.org/officeDocument/2006/relationships/hyperlink" Target="https://www.ice.com/cds-settlement-prices/icc/single-name-instruments" TargetMode="External"/><Relationship Id="rId120" Type="http://schemas.openxmlformats.org/officeDocument/2006/relationships/hyperlink" Target="https://www.ice.com/cds-settlement-prices/icc/single-name-instruments" TargetMode="External"/><Relationship Id="rId121" Type="http://schemas.openxmlformats.org/officeDocument/2006/relationships/hyperlink" Target="https://www.ice.com/cds-settlement-prices/icc/single-name-instruments" TargetMode="External"/><Relationship Id="rId122" Type="http://schemas.openxmlformats.org/officeDocument/2006/relationships/hyperlink" Target="https://www.ice.com/cds-settlement-prices/icc/single-name-instruments" TargetMode="External"/><Relationship Id="rId123" Type="http://schemas.openxmlformats.org/officeDocument/2006/relationships/hyperlink" Target="https://www.ice.com/cds-settlement-prices/icc/single-name-instruments" TargetMode="External"/><Relationship Id="rId124" Type="http://schemas.openxmlformats.org/officeDocument/2006/relationships/hyperlink" Target="https://www.ice.com/cds-settlement-prices/icc/single-name-instruments" TargetMode="External"/><Relationship Id="rId125" Type="http://schemas.openxmlformats.org/officeDocument/2006/relationships/hyperlink" Target="https://www.ice.com/cds-settlement-prices/icc/single-name-instruments" TargetMode="External"/><Relationship Id="rId126" Type="http://schemas.openxmlformats.org/officeDocument/2006/relationships/hyperlink" Target="https://www.ice.com/cds-settlement-prices/icc/single-name-instruments" TargetMode="External"/><Relationship Id="rId127" Type="http://schemas.openxmlformats.org/officeDocument/2006/relationships/hyperlink" Target="https://www.ice.com/cds-settlement-prices/icc/single-name-instruments" TargetMode="External"/><Relationship Id="rId128" Type="http://schemas.openxmlformats.org/officeDocument/2006/relationships/hyperlink" Target="https://www.ice.com/cds-settlement-prices/icc/single-name-instruments" TargetMode="External"/><Relationship Id="rId129" Type="http://schemas.openxmlformats.org/officeDocument/2006/relationships/hyperlink" Target="https://www.ice.com/cds-settlement-prices/icc/single-name-instruments" TargetMode="External"/><Relationship Id="rId130" Type="http://schemas.openxmlformats.org/officeDocument/2006/relationships/hyperlink" Target="https://www.ice.com/cds-settlement-prices/icc/single-name-instruments" TargetMode="External"/><Relationship Id="rId131" Type="http://schemas.openxmlformats.org/officeDocument/2006/relationships/hyperlink" Target="https://www.ice.com/cds-settlement-prices/icc/single-name-instruments" TargetMode="External"/><Relationship Id="rId132" Type="http://schemas.openxmlformats.org/officeDocument/2006/relationships/hyperlink" Target="https://www.ice.com/cds-settlement-prices/icc/single-name-instruments" TargetMode="External"/><Relationship Id="rId133" Type="http://schemas.openxmlformats.org/officeDocument/2006/relationships/hyperlink" Target="https://www.ice.com/cds-settlement-prices/icc/single-name-instruments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home.treasury.gov/resource-center/data-chart-center/interest-rates" TargetMode="External"/><Relationship Id="rId2" Type="http://schemas.openxmlformats.org/officeDocument/2006/relationships/hyperlink" Target="https://home.treasury.gov/resource-center/data-chart-center/interest-rates" TargetMode="External"/><Relationship Id="rId3" Type="http://schemas.openxmlformats.org/officeDocument/2006/relationships/hyperlink" Target="https://home.treasury.gov/resource-center/data-chart-center/interest-rates" TargetMode="External"/><Relationship Id="rId4" Type="http://schemas.openxmlformats.org/officeDocument/2006/relationships/hyperlink" Target="https://home.treasury.gov/resource-center/data-chart-center/interest-rates" TargetMode="External"/><Relationship Id="rId5" Type="http://schemas.openxmlformats.org/officeDocument/2006/relationships/hyperlink" Target="https://home.treasury.gov/resource-center/data-chart-center/interest-rates" TargetMode="External"/><Relationship Id="rId6" Type="http://schemas.openxmlformats.org/officeDocument/2006/relationships/hyperlink" Target="https://home.treasury.gov/resource-center/data-chart-center/interest-rates" TargetMode="External"/><Relationship Id="rId7" Type="http://schemas.openxmlformats.org/officeDocument/2006/relationships/hyperlink" Target="https://home.treasury.gov/resource-center/data-chart-center/interest-rates" TargetMode="External"/><Relationship Id="rId8" Type="http://schemas.openxmlformats.org/officeDocument/2006/relationships/hyperlink" Target="https://home.treasury.gov/resource-center/data-chart-center/interest-rates" TargetMode="External"/><Relationship Id="rId9" Type="http://schemas.openxmlformats.org/officeDocument/2006/relationships/hyperlink" Target="https://home.treasury.gov/resource-center/data-chart-center/interest-rates" TargetMode="External"/><Relationship Id="rId10" Type="http://schemas.openxmlformats.org/officeDocument/2006/relationships/hyperlink" Target="https://home.treasury.gov/resource-center/data-chart-center/interest-rates" TargetMode="External"/><Relationship Id="rId11" Type="http://schemas.openxmlformats.org/officeDocument/2006/relationships/hyperlink" Target="https://home.treasury.gov/resource-center/data-chart-center/interest-rates" TargetMode="External"/><Relationship Id="rId12" Type="http://schemas.openxmlformats.org/officeDocument/2006/relationships/hyperlink" Target="https://home.treasury.gov/resource-center/data-chart-center/interest-rates" TargetMode="External"/><Relationship Id="rId13" Type="http://schemas.openxmlformats.org/officeDocument/2006/relationships/hyperlink" Target="https://home.treasury.gov/resource-center/data-chart-center/interest-rates" TargetMode="External"/><Relationship Id="rId14" Type="http://schemas.openxmlformats.org/officeDocument/2006/relationships/hyperlink" Target="https://home.treasury.gov/resource-center/data-chart-center/interest-rates" TargetMode="External"/><Relationship Id="rId15" Type="http://schemas.openxmlformats.org/officeDocument/2006/relationships/hyperlink" Target="https://home.treasury.gov/resource-center/data-chart-center/interest-rates" TargetMode="External"/><Relationship Id="rId16" Type="http://schemas.openxmlformats.org/officeDocument/2006/relationships/hyperlink" Target="https://home.treasury.gov/resource-center/data-chart-center/interest-rates" TargetMode="External"/><Relationship Id="rId17" Type="http://schemas.openxmlformats.org/officeDocument/2006/relationships/hyperlink" Target="https://home.treasury.gov/resource-center/data-chart-center/interest-rates" TargetMode="External"/><Relationship Id="rId18" Type="http://schemas.openxmlformats.org/officeDocument/2006/relationships/hyperlink" Target="https://home.treasury.gov/resource-center/data-chart-center/interest-rates" TargetMode="External"/><Relationship Id="rId19" Type="http://schemas.openxmlformats.org/officeDocument/2006/relationships/hyperlink" Target="https://home.treasury.gov/resource-center/data-chart-center/interest-rates" TargetMode="External"/><Relationship Id="rId20" Type="http://schemas.openxmlformats.org/officeDocument/2006/relationships/hyperlink" Target="https://home.treasury.gov/resource-center/data-chart-center/interest-rates" TargetMode="External"/><Relationship Id="rId21" Type="http://schemas.openxmlformats.org/officeDocument/2006/relationships/hyperlink" Target="https://home.treasury.gov/resource-center/data-chart-center/interest-rates" TargetMode="External"/><Relationship Id="rId22" Type="http://schemas.openxmlformats.org/officeDocument/2006/relationships/hyperlink" Target="https://home.treasury.gov/resource-center/data-chart-center/interest-rates" TargetMode="External"/><Relationship Id="rId23" Type="http://schemas.openxmlformats.org/officeDocument/2006/relationships/hyperlink" Target="https://home.treasury.gov/resource-center/data-chart-center/interest-rates" TargetMode="External"/><Relationship Id="rId24" Type="http://schemas.openxmlformats.org/officeDocument/2006/relationships/hyperlink" Target="https://home.treasury.gov/resource-center/data-chart-center/interest-rates" TargetMode="External"/><Relationship Id="rId25" Type="http://schemas.openxmlformats.org/officeDocument/2006/relationships/hyperlink" Target="https://home.treasury.gov/resource-center/data-chart-center/interest-rates" TargetMode="External"/><Relationship Id="rId26" Type="http://schemas.openxmlformats.org/officeDocument/2006/relationships/hyperlink" Target="https://home.treasury.gov/resource-center/data-chart-center/interest-rates" TargetMode="External"/><Relationship Id="rId27" Type="http://schemas.openxmlformats.org/officeDocument/2006/relationships/hyperlink" Target="https://home.treasury.gov/resource-center/data-chart-center/interest-rates" TargetMode="External"/><Relationship Id="rId28" Type="http://schemas.openxmlformats.org/officeDocument/2006/relationships/hyperlink" Target="https://home.treasury.gov/resource-center/data-chart-center/interest-rates" TargetMode="External"/><Relationship Id="rId29" Type="http://schemas.openxmlformats.org/officeDocument/2006/relationships/hyperlink" Target="https://home.treasury.gov/resource-center/data-chart-center/interest-rates" TargetMode="External"/><Relationship Id="rId30" Type="http://schemas.openxmlformats.org/officeDocument/2006/relationships/hyperlink" Target="https://home.treasury.gov/resource-center/data-chart-center/interest-rates" TargetMode="External"/><Relationship Id="rId31" Type="http://schemas.openxmlformats.org/officeDocument/2006/relationships/hyperlink" Target="https://home.treasury.gov/resource-center/data-chart-center/interest-rates" TargetMode="External"/><Relationship Id="rId32" Type="http://schemas.openxmlformats.org/officeDocument/2006/relationships/hyperlink" Target="https://home.treasury.gov/resource-center/data-chart-center/interest-rates" TargetMode="External"/><Relationship Id="rId33" Type="http://schemas.openxmlformats.org/officeDocument/2006/relationships/hyperlink" Target="https://home.treasury.gov/resource-center/data-chart-center/interest-rates" TargetMode="External"/><Relationship Id="rId34" Type="http://schemas.openxmlformats.org/officeDocument/2006/relationships/hyperlink" Target="https://home.treasury.gov/resource-center/data-chart-center/interest-rates" TargetMode="External"/><Relationship Id="rId35" Type="http://schemas.openxmlformats.org/officeDocument/2006/relationships/hyperlink" Target="https://home.treasury.gov/resource-center/data-chart-center/interest-rates" TargetMode="External"/><Relationship Id="rId36" Type="http://schemas.openxmlformats.org/officeDocument/2006/relationships/hyperlink" Target="https://home.treasury.gov/resource-center/data-chart-center/interest-rates" TargetMode="External"/><Relationship Id="rId37" Type="http://schemas.openxmlformats.org/officeDocument/2006/relationships/hyperlink" Target="https://home.treasury.gov/resource-center/data-chart-center/interest-rates" TargetMode="External"/><Relationship Id="rId38" Type="http://schemas.openxmlformats.org/officeDocument/2006/relationships/hyperlink" Target="https://home.treasury.gov/resource-center/data-chart-center/interest-rates" TargetMode="External"/><Relationship Id="rId39" Type="http://schemas.openxmlformats.org/officeDocument/2006/relationships/hyperlink" Target="https://home.treasury.gov/resource-center/data-chart-center/interest-rates" TargetMode="External"/><Relationship Id="rId40" Type="http://schemas.openxmlformats.org/officeDocument/2006/relationships/hyperlink" Target="https://home.treasury.gov/resource-center/data-chart-center/interest-rates" TargetMode="External"/><Relationship Id="rId41" Type="http://schemas.openxmlformats.org/officeDocument/2006/relationships/hyperlink" Target="https://home.treasury.gov/resource-center/data-chart-center/interest-rates" TargetMode="External"/><Relationship Id="rId42" Type="http://schemas.openxmlformats.org/officeDocument/2006/relationships/hyperlink" Target="https://home.treasury.gov/resource-center/data-chart-center/interest-rates" TargetMode="External"/><Relationship Id="rId43" Type="http://schemas.openxmlformats.org/officeDocument/2006/relationships/hyperlink" Target="https://home.treasury.gov/resource-center/data-chart-center/interest-rates" TargetMode="External"/><Relationship Id="rId44" Type="http://schemas.openxmlformats.org/officeDocument/2006/relationships/hyperlink" Target="https://home.treasury.gov/resource-center/data-chart-center/interest-rates" TargetMode="External"/><Relationship Id="rId45" Type="http://schemas.openxmlformats.org/officeDocument/2006/relationships/hyperlink" Target="https://home.treasury.gov/resource-center/data-chart-center/interest-rates" TargetMode="External"/><Relationship Id="rId46" Type="http://schemas.openxmlformats.org/officeDocument/2006/relationships/hyperlink" Target="https://home.treasury.gov/resource-center/data-chart-center/interest-rates" TargetMode="External"/><Relationship Id="rId47" Type="http://schemas.openxmlformats.org/officeDocument/2006/relationships/hyperlink" Target="https://home.treasury.gov/resource-center/data-chart-center/interest-rates" TargetMode="External"/><Relationship Id="rId48" Type="http://schemas.openxmlformats.org/officeDocument/2006/relationships/hyperlink" Target="https://home.treasury.gov/resource-center/data-chart-center/interest-rates" TargetMode="External"/><Relationship Id="rId49" Type="http://schemas.openxmlformats.org/officeDocument/2006/relationships/hyperlink" Target="https://home.treasury.gov/resource-center/data-chart-center/interest-rates" TargetMode="External"/><Relationship Id="rId50" Type="http://schemas.openxmlformats.org/officeDocument/2006/relationships/hyperlink" Target="https://home.treasury.gov/resource-center/data-chart-center/interest-rates" TargetMode="External"/><Relationship Id="rId51" Type="http://schemas.openxmlformats.org/officeDocument/2006/relationships/hyperlink" Target="https://home.treasury.gov/resource-center/data-chart-center/interest-rates" TargetMode="External"/><Relationship Id="rId52" Type="http://schemas.openxmlformats.org/officeDocument/2006/relationships/hyperlink" Target="https://home.treasury.gov/resource-center/data-chart-center/interest-rates" TargetMode="External"/><Relationship Id="rId53" Type="http://schemas.openxmlformats.org/officeDocument/2006/relationships/hyperlink" Target="https://home.treasury.gov/resource-center/data-chart-center/interest-rates" TargetMode="External"/><Relationship Id="rId54" Type="http://schemas.openxmlformats.org/officeDocument/2006/relationships/hyperlink" Target="https://home.treasury.gov/resource-center/data-chart-center/interest-rates" TargetMode="External"/><Relationship Id="rId55" Type="http://schemas.openxmlformats.org/officeDocument/2006/relationships/hyperlink" Target="https://home.treasury.gov/resource-center/data-chart-center/interest-rates" TargetMode="External"/><Relationship Id="rId56" Type="http://schemas.openxmlformats.org/officeDocument/2006/relationships/hyperlink" Target="https://home.treasury.gov/resource-center/data-chart-center/interest-rates" TargetMode="External"/><Relationship Id="rId57" Type="http://schemas.openxmlformats.org/officeDocument/2006/relationships/hyperlink" Target="https://home.treasury.gov/resource-center/data-chart-center/interest-rates" TargetMode="External"/><Relationship Id="rId58" Type="http://schemas.openxmlformats.org/officeDocument/2006/relationships/hyperlink" Target="https://home.treasury.gov/resource-center/data-chart-center/interest-rates" TargetMode="External"/><Relationship Id="rId59" Type="http://schemas.openxmlformats.org/officeDocument/2006/relationships/hyperlink" Target="https://home.treasury.gov/resource-center/data-chart-center/interest-rates" TargetMode="External"/><Relationship Id="rId60" Type="http://schemas.openxmlformats.org/officeDocument/2006/relationships/hyperlink" Target="https://home.treasury.gov/resource-center/data-chart-center/interest-rates" TargetMode="External"/><Relationship Id="rId61" Type="http://schemas.openxmlformats.org/officeDocument/2006/relationships/hyperlink" Target="https://home.treasury.gov/resource-center/data-chart-center/interest-rates" TargetMode="External"/><Relationship Id="rId62" Type="http://schemas.openxmlformats.org/officeDocument/2006/relationships/hyperlink" Target="https://home.treasury.gov/resource-center/data-chart-center/interest-rates" TargetMode="External"/><Relationship Id="rId63" Type="http://schemas.openxmlformats.org/officeDocument/2006/relationships/hyperlink" Target="https://home.treasury.gov/resource-center/data-chart-center/interest-rates" TargetMode="External"/><Relationship Id="rId64" Type="http://schemas.openxmlformats.org/officeDocument/2006/relationships/hyperlink" Target="https://home.treasury.gov/resource-center/data-chart-center/interest-rates" TargetMode="External"/><Relationship Id="rId65" Type="http://schemas.openxmlformats.org/officeDocument/2006/relationships/hyperlink" Target="https://home.treasury.gov/resource-center/data-chart-center/interest-rates" TargetMode="External"/><Relationship Id="rId66" Type="http://schemas.openxmlformats.org/officeDocument/2006/relationships/hyperlink" Target="https://home.treasury.gov/resource-center/data-chart-center/interest-rates" TargetMode="External"/><Relationship Id="rId67" Type="http://schemas.openxmlformats.org/officeDocument/2006/relationships/hyperlink" Target="https://home.treasury.gov/resource-center/data-chart-center/interest-rates" TargetMode="External"/><Relationship Id="rId68" Type="http://schemas.openxmlformats.org/officeDocument/2006/relationships/hyperlink" Target="https://home.treasury.gov/resource-center/data-chart-center/interest-rates" TargetMode="External"/><Relationship Id="rId69" Type="http://schemas.openxmlformats.org/officeDocument/2006/relationships/hyperlink" Target="https://home.treasury.gov/resource-center/data-chart-center/interest-rates" TargetMode="External"/><Relationship Id="rId70" Type="http://schemas.openxmlformats.org/officeDocument/2006/relationships/hyperlink" Target="https://home.treasury.gov/resource-center/data-chart-center/interest-rates" TargetMode="External"/><Relationship Id="rId71" Type="http://schemas.openxmlformats.org/officeDocument/2006/relationships/hyperlink" Target="https://home.treasury.gov/resource-center/data-chart-center/interest-rates" TargetMode="External"/><Relationship Id="rId72" Type="http://schemas.openxmlformats.org/officeDocument/2006/relationships/hyperlink" Target="https://home.treasury.gov/resource-center/data-chart-center/interest-rates" TargetMode="External"/><Relationship Id="rId73" Type="http://schemas.openxmlformats.org/officeDocument/2006/relationships/hyperlink" Target="https://home.treasury.gov/resource-center/data-chart-center/interest-rates" TargetMode="External"/><Relationship Id="rId74" Type="http://schemas.openxmlformats.org/officeDocument/2006/relationships/hyperlink" Target="https://home.treasury.gov/resource-center/data-chart-center/interest-rates" TargetMode="External"/><Relationship Id="rId75" Type="http://schemas.openxmlformats.org/officeDocument/2006/relationships/hyperlink" Target="https://home.treasury.gov/resource-center/data-chart-center/interest-rates" TargetMode="External"/><Relationship Id="rId76" Type="http://schemas.openxmlformats.org/officeDocument/2006/relationships/hyperlink" Target="https://home.treasury.gov/resource-center/data-chart-center/interest-rates" TargetMode="External"/><Relationship Id="rId77" Type="http://schemas.openxmlformats.org/officeDocument/2006/relationships/hyperlink" Target="https://home.treasury.gov/resource-center/data-chart-center/interest-rates" TargetMode="External"/><Relationship Id="rId78" Type="http://schemas.openxmlformats.org/officeDocument/2006/relationships/hyperlink" Target="https://home.treasury.gov/resource-center/data-chart-center/interest-rates" TargetMode="External"/><Relationship Id="rId79" Type="http://schemas.openxmlformats.org/officeDocument/2006/relationships/hyperlink" Target="https://home.treasury.gov/resource-center/data-chart-center/interest-rates" TargetMode="External"/><Relationship Id="rId80" Type="http://schemas.openxmlformats.org/officeDocument/2006/relationships/hyperlink" Target="https://home.treasury.gov/resource-center/data-chart-center/interest-rates" TargetMode="External"/><Relationship Id="rId81" Type="http://schemas.openxmlformats.org/officeDocument/2006/relationships/hyperlink" Target="https://home.treasury.gov/resource-center/data-chart-center/interest-rates" TargetMode="External"/><Relationship Id="rId82" Type="http://schemas.openxmlformats.org/officeDocument/2006/relationships/hyperlink" Target="https://home.treasury.gov/resource-center/data-chart-center/interest-rates" TargetMode="External"/><Relationship Id="rId83" Type="http://schemas.openxmlformats.org/officeDocument/2006/relationships/hyperlink" Target="https://home.treasury.gov/resource-center/data-chart-center/interest-rates" TargetMode="External"/><Relationship Id="rId84" Type="http://schemas.openxmlformats.org/officeDocument/2006/relationships/hyperlink" Target="https://home.treasury.gov/resource-center/data-chart-center/interest-rates" TargetMode="External"/><Relationship Id="rId85" Type="http://schemas.openxmlformats.org/officeDocument/2006/relationships/hyperlink" Target="https://home.treasury.gov/resource-center/data-chart-center/interest-rates" TargetMode="External"/><Relationship Id="rId86" Type="http://schemas.openxmlformats.org/officeDocument/2006/relationships/hyperlink" Target="https://home.treasury.gov/resource-center/data-chart-center/interest-rates" TargetMode="External"/><Relationship Id="rId87" Type="http://schemas.openxmlformats.org/officeDocument/2006/relationships/hyperlink" Target="https://home.treasury.gov/resource-center/data-chart-center/interest-rates" TargetMode="External"/><Relationship Id="rId88" Type="http://schemas.openxmlformats.org/officeDocument/2006/relationships/hyperlink" Target="https://home.treasury.gov/resource-center/data-chart-center/interest-rates" TargetMode="External"/><Relationship Id="rId89" Type="http://schemas.openxmlformats.org/officeDocument/2006/relationships/hyperlink" Target="https://home.treasury.gov/resource-center/data-chart-center/interest-rates" TargetMode="External"/><Relationship Id="rId90" Type="http://schemas.openxmlformats.org/officeDocument/2006/relationships/hyperlink" Target="https://home.treasury.gov/resource-center/data-chart-center/interest-rates" TargetMode="External"/><Relationship Id="rId91" Type="http://schemas.openxmlformats.org/officeDocument/2006/relationships/hyperlink" Target="https://home.treasury.gov/resource-center/data-chart-center/interest-rates" TargetMode="External"/><Relationship Id="rId92" Type="http://schemas.openxmlformats.org/officeDocument/2006/relationships/hyperlink" Target="https://home.treasury.gov/resource-center/data-chart-center/interest-rates" TargetMode="External"/><Relationship Id="rId93" Type="http://schemas.openxmlformats.org/officeDocument/2006/relationships/hyperlink" Target="https://home.treasury.gov/resource-center/data-chart-center/interest-rates" TargetMode="External"/><Relationship Id="rId94" Type="http://schemas.openxmlformats.org/officeDocument/2006/relationships/hyperlink" Target="https://home.treasury.gov/resource-center/data-chart-center/interest-rates" TargetMode="External"/><Relationship Id="rId95" Type="http://schemas.openxmlformats.org/officeDocument/2006/relationships/hyperlink" Target="https://home.treasury.gov/resource-center/data-chart-center/interest-rates" TargetMode="External"/><Relationship Id="rId96" Type="http://schemas.openxmlformats.org/officeDocument/2006/relationships/hyperlink" Target="https://home.treasury.gov/resource-center/data-chart-center/interest-rates" TargetMode="External"/><Relationship Id="rId97" Type="http://schemas.openxmlformats.org/officeDocument/2006/relationships/hyperlink" Target="https://home.treasury.gov/resource-center/data-chart-center/interest-rates" TargetMode="External"/><Relationship Id="rId98" Type="http://schemas.openxmlformats.org/officeDocument/2006/relationships/hyperlink" Target="https://home.treasury.gov/resource-center/data-chart-center/interest-rates" TargetMode="External"/><Relationship Id="rId99" Type="http://schemas.openxmlformats.org/officeDocument/2006/relationships/hyperlink" Target="https://home.treasury.gov/resource-center/data-chart-center/interest-rates" TargetMode="External"/><Relationship Id="rId100" Type="http://schemas.openxmlformats.org/officeDocument/2006/relationships/hyperlink" Target="https://home.treasury.gov/resource-center/data-chart-center/interest-rates" TargetMode="External"/><Relationship Id="rId101" Type="http://schemas.openxmlformats.org/officeDocument/2006/relationships/hyperlink" Target="https://home.treasury.gov/resource-center/data-chart-center/interest-rates" TargetMode="External"/><Relationship Id="rId102" Type="http://schemas.openxmlformats.org/officeDocument/2006/relationships/hyperlink" Target="https://home.treasury.gov/resource-center/data-chart-center/interest-rates" TargetMode="External"/><Relationship Id="rId103" Type="http://schemas.openxmlformats.org/officeDocument/2006/relationships/hyperlink" Target="https://home.treasury.gov/resource-center/data-chart-center/interest-rates" TargetMode="External"/><Relationship Id="rId104" Type="http://schemas.openxmlformats.org/officeDocument/2006/relationships/hyperlink" Target="https://home.treasury.gov/resource-center/data-chart-center/interest-rates" TargetMode="External"/><Relationship Id="rId105" Type="http://schemas.openxmlformats.org/officeDocument/2006/relationships/hyperlink" Target="https://home.treasury.gov/resource-center/data-chart-center/interest-rates" TargetMode="External"/><Relationship Id="rId106" Type="http://schemas.openxmlformats.org/officeDocument/2006/relationships/hyperlink" Target="https://home.treasury.gov/resource-center/data-chart-center/interest-rates" TargetMode="External"/><Relationship Id="rId107" Type="http://schemas.openxmlformats.org/officeDocument/2006/relationships/hyperlink" Target="https://home.treasury.gov/resource-center/data-chart-center/interest-rates" TargetMode="External"/><Relationship Id="rId108" Type="http://schemas.openxmlformats.org/officeDocument/2006/relationships/hyperlink" Target="https://home.treasury.gov/resource-center/data-chart-center/interest-rates" TargetMode="External"/><Relationship Id="rId109" Type="http://schemas.openxmlformats.org/officeDocument/2006/relationships/hyperlink" Target="https://home.treasury.gov/resource-center/data-chart-center/interest-rates" TargetMode="External"/><Relationship Id="rId110" Type="http://schemas.openxmlformats.org/officeDocument/2006/relationships/hyperlink" Target="https://home.treasury.gov/resource-center/data-chart-center/interest-rates" TargetMode="External"/><Relationship Id="rId111" Type="http://schemas.openxmlformats.org/officeDocument/2006/relationships/hyperlink" Target="https://home.treasury.gov/resource-center/data-chart-center/interest-rates" TargetMode="External"/><Relationship Id="rId112" Type="http://schemas.openxmlformats.org/officeDocument/2006/relationships/hyperlink" Target="https://home.treasury.gov/resource-center/data-chart-center/interest-rates" TargetMode="External"/><Relationship Id="rId113" Type="http://schemas.openxmlformats.org/officeDocument/2006/relationships/hyperlink" Target="https://home.treasury.gov/resource-center/data-chart-center/interest-rates" TargetMode="External"/><Relationship Id="rId114" Type="http://schemas.openxmlformats.org/officeDocument/2006/relationships/hyperlink" Target="https://home.treasury.gov/resource-center/data-chart-center/interest-rates" TargetMode="External"/><Relationship Id="rId115" Type="http://schemas.openxmlformats.org/officeDocument/2006/relationships/hyperlink" Target="https://home.treasury.gov/resource-center/data-chart-center/interest-rates" TargetMode="External"/><Relationship Id="rId116" Type="http://schemas.openxmlformats.org/officeDocument/2006/relationships/hyperlink" Target="https://home.treasury.gov/resource-center/data-chart-center/interest-rates" TargetMode="External"/><Relationship Id="rId117" Type="http://schemas.openxmlformats.org/officeDocument/2006/relationships/hyperlink" Target="https://home.treasury.gov/resource-center/data-chart-center/interest-rates" TargetMode="External"/><Relationship Id="rId118" Type="http://schemas.openxmlformats.org/officeDocument/2006/relationships/hyperlink" Target="https://home.treasury.gov/resource-center/data-chart-center/interest-rates" TargetMode="External"/><Relationship Id="rId119" Type="http://schemas.openxmlformats.org/officeDocument/2006/relationships/hyperlink" Target="https://home.treasury.gov/resource-center/data-chart-center/interest-rates" TargetMode="External"/><Relationship Id="rId120" Type="http://schemas.openxmlformats.org/officeDocument/2006/relationships/hyperlink" Target="https://home.treasury.gov/resource-center/data-chart-center/interest-rates" TargetMode="External"/><Relationship Id="rId121" Type="http://schemas.openxmlformats.org/officeDocument/2006/relationships/hyperlink" Target="https://home.treasury.gov/resource-center/data-chart-center/interest-rates" TargetMode="External"/><Relationship Id="rId122" Type="http://schemas.openxmlformats.org/officeDocument/2006/relationships/hyperlink" Target="https://home.treasury.gov/resource-center/data-chart-center/interest-rates" TargetMode="External"/><Relationship Id="rId123" Type="http://schemas.openxmlformats.org/officeDocument/2006/relationships/hyperlink" Target="https://home.treasury.gov/resource-center/data-chart-center/interest-rates" TargetMode="External"/><Relationship Id="rId124" Type="http://schemas.openxmlformats.org/officeDocument/2006/relationships/hyperlink" Target="https://home.treasury.gov/resource-center/data-chart-center/interest-rates" TargetMode="External"/><Relationship Id="rId125" Type="http://schemas.openxmlformats.org/officeDocument/2006/relationships/hyperlink" Target="https://home.treasury.gov/resource-center/data-chart-center/interest-rates" TargetMode="External"/><Relationship Id="rId126" Type="http://schemas.openxmlformats.org/officeDocument/2006/relationships/hyperlink" Target="https://home.treasury.gov/resource-center/data-chart-center/interest-rates" TargetMode="External"/><Relationship Id="rId127" Type="http://schemas.openxmlformats.org/officeDocument/2006/relationships/hyperlink" Target="https://home.treasury.gov/resource-center/data-chart-center/interest-rates" TargetMode="External"/><Relationship Id="rId128" Type="http://schemas.openxmlformats.org/officeDocument/2006/relationships/hyperlink" Target="https://home.treasury.gov/resource-center/data-chart-center/interest-rates" TargetMode="External"/><Relationship Id="rId129" Type="http://schemas.openxmlformats.org/officeDocument/2006/relationships/hyperlink" Target="https://home.treasury.gov/resource-center/data-chart-center/interest-rates" TargetMode="External"/><Relationship Id="rId130" Type="http://schemas.openxmlformats.org/officeDocument/2006/relationships/hyperlink" Target="https://home.treasury.gov/resource-center/data-chart-center/interest-rates" TargetMode="External"/><Relationship Id="rId131" Type="http://schemas.openxmlformats.org/officeDocument/2006/relationships/hyperlink" Target="https://home.treasury.gov/resource-center/data-chart-center/interest-rates" TargetMode="External"/><Relationship Id="rId132" Type="http://schemas.openxmlformats.org/officeDocument/2006/relationships/hyperlink" Target="https://home.treasury.gov/resource-center/data-chart-center/interest-rates" TargetMode="External"/><Relationship Id="rId133" Type="http://schemas.openxmlformats.org/officeDocument/2006/relationships/hyperlink" Target="https://home.treasury.gov/resource-center/data-chart-center/interest-rates" TargetMode="External"/><Relationship Id="rId134" Type="http://schemas.openxmlformats.org/officeDocument/2006/relationships/hyperlink" Target="https://home.treasury.gov/resource-center/data-chart-center/interest-rates" TargetMode="External"/><Relationship Id="rId135" Type="http://schemas.openxmlformats.org/officeDocument/2006/relationships/hyperlink" Target="https://home.treasury.gov/resource-center/data-chart-center/interest-rates" TargetMode="External"/><Relationship Id="rId136" Type="http://schemas.openxmlformats.org/officeDocument/2006/relationships/hyperlink" Target="https://home.treasury.gov/resource-center/data-chart-center/interest-rates" TargetMode="External"/><Relationship Id="rId137" Type="http://schemas.openxmlformats.org/officeDocument/2006/relationships/hyperlink" Target="https://home.treasury.gov/resource-center/data-chart-center/interest-rates" TargetMode="External"/><Relationship Id="rId138" Type="http://schemas.openxmlformats.org/officeDocument/2006/relationships/hyperlink" Target="https://home.treasury.gov/resource-center/data-chart-center/interest-rates" TargetMode="External"/><Relationship Id="rId139" Type="http://schemas.openxmlformats.org/officeDocument/2006/relationships/hyperlink" Target="https://home.treasury.gov/resource-center/data-chart-center/interest-rates" TargetMode="External"/><Relationship Id="rId140" Type="http://schemas.openxmlformats.org/officeDocument/2006/relationships/hyperlink" Target="https://home.treasury.gov/resource-center/data-chart-center/interest-rates" TargetMode="External"/><Relationship Id="rId141" Type="http://schemas.openxmlformats.org/officeDocument/2006/relationships/hyperlink" Target="https://home.treasury.gov/resource-center/data-chart-center/interest-rates" TargetMode="External"/><Relationship Id="rId142" Type="http://schemas.openxmlformats.org/officeDocument/2006/relationships/hyperlink" Target="https://home.treasury.gov/resource-center/data-chart-center/interest-rates" TargetMode="External"/><Relationship Id="rId143" Type="http://schemas.openxmlformats.org/officeDocument/2006/relationships/hyperlink" Target="https://home.treasury.gov/resource-center/data-chart-center/interest-rates" TargetMode="External"/><Relationship Id="rId144" Type="http://schemas.openxmlformats.org/officeDocument/2006/relationships/hyperlink" Target="https://home.treasury.gov/resource-center/data-chart-center/interest-rates" TargetMode="External"/><Relationship Id="rId145" Type="http://schemas.openxmlformats.org/officeDocument/2006/relationships/hyperlink" Target="https://home.treasury.gov/resource-center/data-chart-center/interest-rates" TargetMode="External"/><Relationship Id="rId146" Type="http://schemas.openxmlformats.org/officeDocument/2006/relationships/hyperlink" Target="https://home.treasury.gov/resource-center/data-chart-center/interest-rates" TargetMode="External"/><Relationship Id="rId147" Type="http://schemas.openxmlformats.org/officeDocument/2006/relationships/hyperlink" Target="https://home.treasury.gov/resource-center/data-chart-center/interest-rates" TargetMode="External"/><Relationship Id="rId148" Type="http://schemas.openxmlformats.org/officeDocument/2006/relationships/hyperlink" Target="https://home.treasury.gov/resource-center/data-chart-center/interest-rates" TargetMode="External"/><Relationship Id="rId149" Type="http://schemas.openxmlformats.org/officeDocument/2006/relationships/hyperlink" Target="https://home.treasury.gov/resource-center/data-chart-center/interest-rates" TargetMode="External"/><Relationship Id="rId150" Type="http://schemas.openxmlformats.org/officeDocument/2006/relationships/hyperlink" Target="https://home.treasury.gov/resource-center/data-chart-center/interest-rates" TargetMode="External"/><Relationship Id="rId151" Type="http://schemas.openxmlformats.org/officeDocument/2006/relationships/hyperlink" Target="https://home.treasury.gov/resource-center/data-chart-center/interest-rates" TargetMode="External"/><Relationship Id="rId152" Type="http://schemas.openxmlformats.org/officeDocument/2006/relationships/hyperlink" Target="https://home.treasury.gov/resource-center/data-chart-center/interest-rates" TargetMode="External"/><Relationship Id="rId153" Type="http://schemas.openxmlformats.org/officeDocument/2006/relationships/hyperlink" Target="https://home.treasury.gov/resource-center/data-chart-center/interest-rates" TargetMode="External"/><Relationship Id="rId154" Type="http://schemas.openxmlformats.org/officeDocument/2006/relationships/hyperlink" Target="https://home.treasury.gov/resource-center/data-chart-center/interest-rates" TargetMode="External"/><Relationship Id="rId155" Type="http://schemas.openxmlformats.org/officeDocument/2006/relationships/hyperlink" Target="https://home.treasury.gov/resource-center/data-chart-center/interest-rates" TargetMode="External"/><Relationship Id="rId156" Type="http://schemas.openxmlformats.org/officeDocument/2006/relationships/hyperlink" Target="https://home.treasury.gov/resource-center/data-chart-center/interest-rates" TargetMode="External"/><Relationship Id="rId157" Type="http://schemas.openxmlformats.org/officeDocument/2006/relationships/hyperlink" Target="https://home.treasury.gov/resource-center/data-chart-center/interest-rates" TargetMode="External"/><Relationship Id="rId158" Type="http://schemas.openxmlformats.org/officeDocument/2006/relationships/hyperlink" Target="https://home.treasury.gov/resource-center/data-chart-center/interest-rates" TargetMode="External"/><Relationship Id="rId159" Type="http://schemas.openxmlformats.org/officeDocument/2006/relationships/hyperlink" Target="https://home.treasury.gov/resource-center/data-chart-center/interest-rates" TargetMode="External"/><Relationship Id="rId160" Type="http://schemas.openxmlformats.org/officeDocument/2006/relationships/hyperlink" Target="https://home.treasury.gov/resource-center/data-chart-center/interest-rates" TargetMode="External"/><Relationship Id="rId161" Type="http://schemas.openxmlformats.org/officeDocument/2006/relationships/hyperlink" Target="https://home.treasury.gov/resource-center/data-chart-center/interest-rates" TargetMode="External"/><Relationship Id="rId162" Type="http://schemas.openxmlformats.org/officeDocument/2006/relationships/hyperlink" Target="https://home.treasury.gov/resource-center/data-chart-center/interest-rates" TargetMode="External"/><Relationship Id="rId163" Type="http://schemas.openxmlformats.org/officeDocument/2006/relationships/hyperlink" Target="https://home.treasury.gov/resource-center/data-chart-center/interest-rates" TargetMode="External"/><Relationship Id="rId164" Type="http://schemas.openxmlformats.org/officeDocument/2006/relationships/hyperlink" Target="https://home.treasury.gov/resource-center/data-chart-center/interest-rates" TargetMode="External"/><Relationship Id="rId165" Type="http://schemas.openxmlformats.org/officeDocument/2006/relationships/hyperlink" Target="https://home.treasury.gov/resource-center/data-chart-center/interest-rates" TargetMode="External"/><Relationship Id="rId166" Type="http://schemas.openxmlformats.org/officeDocument/2006/relationships/hyperlink" Target="https://home.treasury.gov/resource-center/data-chart-center/interest-rates" TargetMode="External"/><Relationship Id="rId167" Type="http://schemas.openxmlformats.org/officeDocument/2006/relationships/hyperlink" Target="https://home.treasury.gov/resource-center/data-chart-center/interest-rates" TargetMode="External"/><Relationship Id="rId168" Type="http://schemas.openxmlformats.org/officeDocument/2006/relationships/hyperlink" Target="https://home.treasury.gov/resource-center/data-chart-center/interest-rates" TargetMode="External"/><Relationship Id="rId169" Type="http://schemas.openxmlformats.org/officeDocument/2006/relationships/hyperlink" Target="https://home.treasury.gov/resource-center/data-chart-center/interest-rates" TargetMode="External"/><Relationship Id="rId170" Type="http://schemas.openxmlformats.org/officeDocument/2006/relationships/hyperlink" Target="https://home.treasury.gov/resource-center/data-chart-center/interest-rates" TargetMode="External"/><Relationship Id="rId171" Type="http://schemas.openxmlformats.org/officeDocument/2006/relationships/hyperlink" Target="https://home.treasury.gov/resource-center/data-chart-center/interest-rates" TargetMode="External"/><Relationship Id="rId172" Type="http://schemas.openxmlformats.org/officeDocument/2006/relationships/hyperlink" Target="https://home.treasury.gov/resource-center/data-chart-center/interest-rates" TargetMode="External"/><Relationship Id="rId173" Type="http://schemas.openxmlformats.org/officeDocument/2006/relationships/hyperlink" Target="https://home.treasury.gov/resource-center/data-chart-center/interest-rates" TargetMode="External"/><Relationship Id="rId174" Type="http://schemas.openxmlformats.org/officeDocument/2006/relationships/hyperlink" Target="https://home.treasury.gov/resource-center/data-chart-center/interest-rates" TargetMode="External"/><Relationship Id="rId175" Type="http://schemas.openxmlformats.org/officeDocument/2006/relationships/hyperlink" Target="https://home.treasury.gov/resource-center/data-chart-center/interest-rates" TargetMode="External"/><Relationship Id="rId176" Type="http://schemas.openxmlformats.org/officeDocument/2006/relationships/hyperlink" Target="https://home.treasury.gov/resource-center/data-chart-center/interest-rates" TargetMode="External"/><Relationship Id="rId177" Type="http://schemas.openxmlformats.org/officeDocument/2006/relationships/hyperlink" Target="https://home.treasury.gov/resource-center/data-chart-center/interest-rates" TargetMode="External"/><Relationship Id="rId178" Type="http://schemas.openxmlformats.org/officeDocument/2006/relationships/hyperlink" Target="https://home.treasury.gov/resource-center/data-chart-center/interest-rates" TargetMode="External"/><Relationship Id="rId179" Type="http://schemas.openxmlformats.org/officeDocument/2006/relationships/hyperlink" Target="https://home.treasury.gov/resource-center/data-chart-center/interest-rates" TargetMode="External"/><Relationship Id="rId180" Type="http://schemas.openxmlformats.org/officeDocument/2006/relationships/hyperlink" Target="https://home.treasury.gov/resource-center/data-chart-center/interest-rates" TargetMode="External"/><Relationship Id="rId181" Type="http://schemas.openxmlformats.org/officeDocument/2006/relationships/hyperlink" Target="https://home.treasury.gov/resource-center/data-chart-center/interest-rates" TargetMode="External"/><Relationship Id="rId182" Type="http://schemas.openxmlformats.org/officeDocument/2006/relationships/hyperlink" Target="https://home.treasury.gov/resource-center/data-chart-center/interest-rates" TargetMode="External"/><Relationship Id="rId183" Type="http://schemas.openxmlformats.org/officeDocument/2006/relationships/hyperlink" Target="https://home.treasury.gov/resource-center/data-chart-center/interest-rates" TargetMode="External"/><Relationship Id="rId184" Type="http://schemas.openxmlformats.org/officeDocument/2006/relationships/hyperlink" Target="https://home.treasury.gov/resource-center/data-chart-center/interest-rates" TargetMode="External"/><Relationship Id="rId185" Type="http://schemas.openxmlformats.org/officeDocument/2006/relationships/hyperlink" Target="https://home.treasury.gov/resource-center/data-chart-center/interest-rates" TargetMode="External"/><Relationship Id="rId186" Type="http://schemas.openxmlformats.org/officeDocument/2006/relationships/hyperlink" Target="https://home.treasury.gov/resource-center/data-chart-center/interest-rates" TargetMode="External"/><Relationship Id="rId187" Type="http://schemas.openxmlformats.org/officeDocument/2006/relationships/hyperlink" Target="https://home.treasury.gov/resource-center/data-chart-center/interest-rates" TargetMode="External"/><Relationship Id="rId188" Type="http://schemas.openxmlformats.org/officeDocument/2006/relationships/hyperlink" Target="https://home.treasury.gov/resource-center/data-chart-center/interest-rates" TargetMode="External"/><Relationship Id="rId189" Type="http://schemas.openxmlformats.org/officeDocument/2006/relationships/hyperlink" Target="https://home.treasury.gov/resource-center/data-chart-center/interest-rates" TargetMode="External"/><Relationship Id="rId190" Type="http://schemas.openxmlformats.org/officeDocument/2006/relationships/hyperlink" Target="https://home.treasury.gov/resource-center/data-chart-center/interest-rates" TargetMode="External"/><Relationship Id="rId191" Type="http://schemas.openxmlformats.org/officeDocument/2006/relationships/hyperlink" Target="https://home.treasury.gov/resource-center/data-chart-center/interest-rates" TargetMode="External"/><Relationship Id="rId192" Type="http://schemas.openxmlformats.org/officeDocument/2006/relationships/hyperlink" Target="https://home.treasury.gov/resource-center/data-chart-center/interest-rates" TargetMode="External"/><Relationship Id="rId193" Type="http://schemas.openxmlformats.org/officeDocument/2006/relationships/hyperlink" Target="https://home.treasury.gov/resource-center/data-chart-center/interest-rates" TargetMode="External"/><Relationship Id="rId194" Type="http://schemas.openxmlformats.org/officeDocument/2006/relationships/hyperlink" Target="https://home.treasury.gov/resource-center/data-chart-center/interest-rates" TargetMode="External"/><Relationship Id="rId195" Type="http://schemas.openxmlformats.org/officeDocument/2006/relationships/hyperlink" Target="https://home.treasury.gov/resource-center/data-chart-center/interest-rates" TargetMode="External"/><Relationship Id="rId196" Type="http://schemas.openxmlformats.org/officeDocument/2006/relationships/hyperlink" Target="https://home.treasury.gov/resource-center/data-chart-center/interest-rates" TargetMode="External"/><Relationship Id="rId197" Type="http://schemas.openxmlformats.org/officeDocument/2006/relationships/hyperlink" Target="https://home.treasury.gov/resource-center/data-chart-center/interest-rates" TargetMode="External"/><Relationship Id="rId198" Type="http://schemas.openxmlformats.org/officeDocument/2006/relationships/hyperlink" Target="https://home.treasury.gov/resource-center/data-chart-center/interest-rates" TargetMode="External"/><Relationship Id="rId199" Type="http://schemas.openxmlformats.org/officeDocument/2006/relationships/hyperlink" Target="https://home.treasury.gov/resource-center/data-chart-center/interest-rates" TargetMode="External"/><Relationship Id="rId200" Type="http://schemas.openxmlformats.org/officeDocument/2006/relationships/hyperlink" Target="https://home.treasury.gov/resource-center/data-chart-center/interest-rates" TargetMode="External"/><Relationship Id="rId201" Type="http://schemas.openxmlformats.org/officeDocument/2006/relationships/hyperlink" Target="https://home.treasury.gov/resource-center/data-chart-center/interest-rates" TargetMode="External"/><Relationship Id="rId202" Type="http://schemas.openxmlformats.org/officeDocument/2006/relationships/hyperlink" Target="https://home.treasury.gov/resource-center/data-chart-center/interest-rates" TargetMode="External"/><Relationship Id="rId203" Type="http://schemas.openxmlformats.org/officeDocument/2006/relationships/hyperlink" Target="https://home.treasury.gov/resource-center/data-chart-center/interest-rates" TargetMode="External"/><Relationship Id="rId204" Type="http://schemas.openxmlformats.org/officeDocument/2006/relationships/hyperlink" Target="https://home.treasury.gov/resource-center/data-chart-center/interest-rates" TargetMode="External"/><Relationship Id="rId205" Type="http://schemas.openxmlformats.org/officeDocument/2006/relationships/hyperlink" Target="https://home.treasury.gov/resource-center/data-chart-center/interest-rates" TargetMode="External"/><Relationship Id="rId206" Type="http://schemas.openxmlformats.org/officeDocument/2006/relationships/hyperlink" Target="https://home.treasury.gov/resource-center/data-chart-center/interest-rates" TargetMode="External"/><Relationship Id="rId207" Type="http://schemas.openxmlformats.org/officeDocument/2006/relationships/hyperlink" Target="https://home.treasury.gov/resource-center/data-chart-center/interest-rates" TargetMode="External"/><Relationship Id="rId208" Type="http://schemas.openxmlformats.org/officeDocument/2006/relationships/hyperlink" Target="https://home.treasury.gov/resource-center/data-chart-center/interest-rates" TargetMode="External"/><Relationship Id="rId209" Type="http://schemas.openxmlformats.org/officeDocument/2006/relationships/hyperlink" Target="https://home.treasury.gov/resource-center/data-chart-center/interest-rates" TargetMode="External"/><Relationship Id="rId210" Type="http://schemas.openxmlformats.org/officeDocument/2006/relationships/hyperlink" Target="https://home.treasury.gov/resource-center/data-chart-center/interest-rates" TargetMode="External"/><Relationship Id="rId211" Type="http://schemas.openxmlformats.org/officeDocument/2006/relationships/hyperlink" Target="https://home.treasury.gov/resource-center/data-chart-center/interest-rates" TargetMode="External"/><Relationship Id="rId212" Type="http://schemas.openxmlformats.org/officeDocument/2006/relationships/hyperlink" Target="https://home.treasury.gov/resource-center/data-chart-center/interest-rates" TargetMode="External"/><Relationship Id="rId213" Type="http://schemas.openxmlformats.org/officeDocument/2006/relationships/hyperlink" Target="https://home.treasury.gov/resource-center/data-chart-center/interest-rates" TargetMode="External"/><Relationship Id="rId214" Type="http://schemas.openxmlformats.org/officeDocument/2006/relationships/hyperlink" Target="https://home.treasury.gov/resource-center/data-chart-center/interest-rates" TargetMode="External"/><Relationship Id="rId215" Type="http://schemas.openxmlformats.org/officeDocument/2006/relationships/hyperlink" Target="https://home.treasury.gov/resource-center/data-chart-center/interest-rates" TargetMode="External"/><Relationship Id="rId216" Type="http://schemas.openxmlformats.org/officeDocument/2006/relationships/hyperlink" Target="https://home.treasury.gov/resource-center/data-chart-center/interest-rates" TargetMode="External"/><Relationship Id="rId217" Type="http://schemas.openxmlformats.org/officeDocument/2006/relationships/hyperlink" Target="https://home.treasury.gov/resource-center/data-chart-center/interest-rates" TargetMode="External"/><Relationship Id="rId218" Type="http://schemas.openxmlformats.org/officeDocument/2006/relationships/hyperlink" Target="https://home.treasury.gov/resource-center/data-chart-center/interest-rates" TargetMode="External"/><Relationship Id="rId219" Type="http://schemas.openxmlformats.org/officeDocument/2006/relationships/hyperlink" Target="https://home.treasury.gov/resource-center/data-chart-center/interest-rates" TargetMode="External"/><Relationship Id="rId220" Type="http://schemas.openxmlformats.org/officeDocument/2006/relationships/hyperlink" Target="https://home.treasury.gov/resource-center/data-chart-center/interest-rates" TargetMode="External"/><Relationship Id="rId221" Type="http://schemas.openxmlformats.org/officeDocument/2006/relationships/hyperlink" Target="https://home.treasury.gov/resource-center/data-chart-center/interest-rates" TargetMode="External"/><Relationship Id="rId222" Type="http://schemas.openxmlformats.org/officeDocument/2006/relationships/hyperlink" Target="https://home.treasury.gov/resource-center/data-chart-center/interest-rates" TargetMode="External"/><Relationship Id="rId223" Type="http://schemas.openxmlformats.org/officeDocument/2006/relationships/hyperlink" Target="https://home.treasury.gov/resource-center/data-chart-center/interest-rates" TargetMode="External"/><Relationship Id="rId224" Type="http://schemas.openxmlformats.org/officeDocument/2006/relationships/hyperlink" Target="https://home.treasury.gov/resource-center/data-chart-center/interest-rates" TargetMode="External"/><Relationship Id="rId225" Type="http://schemas.openxmlformats.org/officeDocument/2006/relationships/hyperlink" Target="https://home.treasury.gov/resource-center/data-chart-center/interest-rates" TargetMode="External"/><Relationship Id="rId226" Type="http://schemas.openxmlformats.org/officeDocument/2006/relationships/hyperlink" Target="https://home.treasury.gov/resource-center/data-chart-center/interest-rates" TargetMode="External"/><Relationship Id="rId227" Type="http://schemas.openxmlformats.org/officeDocument/2006/relationships/hyperlink" Target="https://home.treasury.gov/resource-center/data-chart-center/interest-rates" TargetMode="External"/><Relationship Id="rId228" Type="http://schemas.openxmlformats.org/officeDocument/2006/relationships/hyperlink" Target="https://home.treasury.gov/resource-center/data-chart-center/interest-rates" TargetMode="External"/><Relationship Id="rId229" Type="http://schemas.openxmlformats.org/officeDocument/2006/relationships/hyperlink" Target="https://home.treasury.gov/resource-center/data-chart-center/interest-rates" TargetMode="External"/><Relationship Id="rId230" Type="http://schemas.openxmlformats.org/officeDocument/2006/relationships/hyperlink" Target="https://home.treasury.gov/resource-center/data-chart-center/interest-rates" TargetMode="External"/><Relationship Id="rId231" Type="http://schemas.openxmlformats.org/officeDocument/2006/relationships/hyperlink" Target="https://home.treasury.gov/resource-center/data-chart-center/interest-rates" TargetMode="External"/><Relationship Id="rId232" Type="http://schemas.openxmlformats.org/officeDocument/2006/relationships/hyperlink" Target="https://home.treasury.gov/resource-center/data-chart-center/interest-rates" TargetMode="External"/><Relationship Id="rId233" Type="http://schemas.openxmlformats.org/officeDocument/2006/relationships/hyperlink" Target="https://home.treasury.gov/resource-center/data-chart-center/interest-rates" TargetMode="External"/><Relationship Id="rId234" Type="http://schemas.openxmlformats.org/officeDocument/2006/relationships/hyperlink" Target="https://home.treasury.gov/resource-center/data-chart-center/interest-rates" TargetMode="External"/><Relationship Id="rId235" Type="http://schemas.openxmlformats.org/officeDocument/2006/relationships/hyperlink" Target="https://home.treasury.gov/resource-center/data-chart-center/interest-rates" TargetMode="External"/><Relationship Id="rId236" Type="http://schemas.openxmlformats.org/officeDocument/2006/relationships/hyperlink" Target="https://home.treasury.gov/resource-center/data-chart-center/interest-rates" TargetMode="External"/><Relationship Id="rId237" Type="http://schemas.openxmlformats.org/officeDocument/2006/relationships/hyperlink" Target="https://home.treasury.gov/resource-center/data-chart-center/interest-rates" TargetMode="External"/><Relationship Id="rId238" Type="http://schemas.openxmlformats.org/officeDocument/2006/relationships/hyperlink" Target="https://home.treasury.gov/resource-center/data-chart-center/interest-rates" TargetMode="External"/><Relationship Id="rId239" Type="http://schemas.openxmlformats.org/officeDocument/2006/relationships/hyperlink" Target="https://home.treasury.gov/resource-center/data-chart-center/interest-rates" TargetMode="External"/><Relationship Id="rId240" Type="http://schemas.openxmlformats.org/officeDocument/2006/relationships/hyperlink" Target="https://home.treasury.gov/resource-center/data-chart-center/interest-rates" TargetMode="External"/><Relationship Id="rId241" Type="http://schemas.openxmlformats.org/officeDocument/2006/relationships/hyperlink" Target="https://home.treasury.gov/resource-center/data-chart-center/interest-rates" TargetMode="External"/><Relationship Id="rId242" Type="http://schemas.openxmlformats.org/officeDocument/2006/relationships/hyperlink" Target="https://home.treasury.gov/resource-center/data-chart-center/interest-rates" TargetMode="External"/><Relationship Id="rId243" Type="http://schemas.openxmlformats.org/officeDocument/2006/relationships/hyperlink" Target="https://home.treasury.gov/resource-center/data-chart-center/interest-rates" TargetMode="External"/><Relationship Id="rId244" Type="http://schemas.openxmlformats.org/officeDocument/2006/relationships/hyperlink" Target="https://home.treasury.gov/resource-center/data-chart-center/interest-rates" TargetMode="External"/><Relationship Id="rId245" Type="http://schemas.openxmlformats.org/officeDocument/2006/relationships/hyperlink" Target="https://home.treasury.gov/resource-center/data-chart-center/interest-rates" TargetMode="External"/><Relationship Id="rId246" Type="http://schemas.openxmlformats.org/officeDocument/2006/relationships/hyperlink" Target="https://home.treasury.gov/resource-center/data-chart-center/interest-rates" TargetMode="External"/><Relationship Id="rId247" Type="http://schemas.openxmlformats.org/officeDocument/2006/relationships/hyperlink" Target="https://home.treasury.gov/resource-center/data-chart-center/interest-rates" TargetMode="External"/><Relationship Id="rId248" Type="http://schemas.openxmlformats.org/officeDocument/2006/relationships/hyperlink" Target="https://home.treasury.gov/resource-center/data-chart-center/interest-rates" TargetMode="External"/><Relationship Id="rId249" Type="http://schemas.openxmlformats.org/officeDocument/2006/relationships/hyperlink" Target="https://home.treasury.gov/resource-center/data-chart-center/interest-rates" TargetMode="External"/><Relationship Id="rId250" Type="http://schemas.openxmlformats.org/officeDocument/2006/relationships/hyperlink" Target="https://home.treasury.gov/resource-center/data-chart-center/interest-rates" TargetMode="External"/><Relationship Id="rId251" Type="http://schemas.openxmlformats.org/officeDocument/2006/relationships/hyperlink" Target="https://home.treasury.gov/resource-center/data-chart-center/interest-rates" TargetMode="External"/><Relationship Id="rId252" Type="http://schemas.openxmlformats.org/officeDocument/2006/relationships/hyperlink" Target="https://home.treasury.gov/resource-center/data-chart-center/interest-ra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18" outlineLevelRow="0" outlineLevelCol="0" x14ac:dyDescent="55" customHeight="1"/>
  <cols>
    <col min="1" max="1" width="24" customWidth="1"/>
    <col min="2" max="2" width="14" customWidth="1"/>
    <col min="3" max="3" width="16" customWidth="1"/>
    <col min="4" max="4" width="24" customWidth="1"/>
    <col min="5" max="5" width="42" customWidth="1"/>
    <col min="6" max="6" width="14" customWidth="1"/>
    <col min="7" max="7" width="18" customWidth="1"/>
    <col min="8" max="8" width="25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46258</v>
      </c>
      <c r="C2" s="2" t="s">
        <v>9</v>
      </c>
      <c r="D2" s="2" t="s">
        <v>10</v>
      </c>
      <c r="E2" s="2" t="s">
        <v>11</v>
      </c>
      <c r="F2" s="4">
        <v>95.0309</v>
      </c>
      <c r="G2" s="5" t="s">
        <v>12</v>
      </c>
      <c r="H2" s="2" t="s">
        <v>13</v>
      </c>
    </row>
    <row r="3" spans="1:8" x14ac:dyDescent="0.25">
      <c r="A3" s="6" t="s">
        <v>8</v>
      </c>
      <c r="B3" s="7">
        <v>46258</v>
      </c>
      <c r="C3" s="6" t="s">
        <v>14</v>
      </c>
      <c r="D3" s="6" t="s">
        <v>15</v>
      </c>
      <c r="E3" s="6" t="s">
        <v>16</v>
      </c>
      <c r="F3" s="8">
        <v>90.0135</v>
      </c>
      <c r="G3" s="9" t="s">
        <v>12</v>
      </c>
      <c r="H3" s="6" t="s">
        <v>13</v>
      </c>
    </row>
    <row r="4" spans="1:8" x14ac:dyDescent="0.25">
      <c r="A4" s="2" t="s">
        <v>8</v>
      </c>
      <c r="B4" s="3">
        <v>46258</v>
      </c>
      <c r="C4" s="2" t="s">
        <v>17</v>
      </c>
      <c r="D4" s="2" t="s">
        <v>18</v>
      </c>
      <c r="E4" s="2" t="s">
        <v>19</v>
      </c>
      <c r="F4" s="4">
        <v>100.5487</v>
      </c>
      <c r="G4" s="5" t="s">
        <v>12</v>
      </c>
      <c r="H4" s="2" t="s">
        <v>13</v>
      </c>
    </row>
    <row r="5" spans="1:8" x14ac:dyDescent="0.25">
      <c r="A5" s="6" t="s">
        <v>8</v>
      </c>
      <c r="B5" s="7">
        <v>46258</v>
      </c>
      <c r="C5" s="6" t="s">
        <v>20</v>
      </c>
      <c r="D5" s="6" t="s">
        <v>21</v>
      </c>
      <c r="E5" s="6" t="s">
        <v>22</v>
      </c>
      <c r="F5" s="8">
        <v>101.4668</v>
      </c>
      <c r="G5" s="9" t="s">
        <v>12</v>
      </c>
      <c r="H5" s="6" t="s">
        <v>13</v>
      </c>
    </row>
    <row r="6" spans="1:8" x14ac:dyDescent="0.25">
      <c r="A6" s="2" t="s">
        <v>8</v>
      </c>
      <c r="B6" s="3">
        <v>46258</v>
      </c>
      <c r="C6" s="2" t="s">
        <v>23</v>
      </c>
      <c r="D6" s="2" t="s">
        <v>24</v>
      </c>
      <c r="E6" s="2" t="s">
        <v>25</v>
      </c>
      <c r="F6" s="4">
        <v>101.7418</v>
      </c>
      <c r="G6" s="5" t="s">
        <v>12</v>
      </c>
      <c r="H6" s="2" t="s">
        <v>13</v>
      </c>
    </row>
    <row r="7" spans="1:8" x14ac:dyDescent="0.25">
      <c r="A7" s="6" t="s">
        <v>8</v>
      </c>
      <c r="B7" s="7">
        <v>46258</v>
      </c>
      <c r="C7" s="6" t="s">
        <v>26</v>
      </c>
      <c r="D7" s="6" t="s">
        <v>27</v>
      </c>
      <c r="E7" s="6" t="s">
        <v>28</v>
      </c>
      <c r="F7" s="8">
        <v>102.2015</v>
      </c>
      <c r="G7" s="9" t="s">
        <v>12</v>
      </c>
      <c r="H7" s="6" t="s">
        <v>13</v>
      </c>
    </row>
    <row r="8" spans="1:8" x14ac:dyDescent="0.25">
      <c r="A8" s="2" t="s">
        <v>8</v>
      </c>
      <c r="B8" s="3">
        <v>46258</v>
      </c>
      <c r="C8" s="2" t="s">
        <v>29</v>
      </c>
      <c r="D8" s="2" t="s">
        <v>30</v>
      </c>
      <c r="E8" s="2" t="s">
        <v>31</v>
      </c>
      <c r="F8" s="4">
        <v>100.1232</v>
      </c>
      <c r="G8" s="5" t="s">
        <v>12</v>
      </c>
      <c r="H8" s="2" t="s">
        <v>13</v>
      </c>
    </row>
    <row r="9" spans="1:8" x14ac:dyDescent="0.25">
      <c r="A9" s="6" t="s">
        <v>32</v>
      </c>
      <c r="B9" s="7">
        <v>46259</v>
      </c>
      <c r="C9" s="6" t="s">
        <v>9</v>
      </c>
      <c r="D9" s="6" t="s">
        <v>10</v>
      </c>
      <c r="E9" s="6" t="s">
        <v>11</v>
      </c>
      <c r="F9" s="8">
        <v>95.3261</v>
      </c>
      <c r="G9" s="9" t="s">
        <v>12</v>
      </c>
      <c r="H9" s="6" t="s">
        <v>33</v>
      </c>
    </row>
    <row r="10" spans="1:8" x14ac:dyDescent="0.25">
      <c r="A10" s="2" t="s">
        <v>32</v>
      </c>
      <c r="B10" s="3">
        <v>46259</v>
      </c>
      <c r="C10" s="2" t="s">
        <v>14</v>
      </c>
      <c r="D10" s="2" t="s">
        <v>15</v>
      </c>
      <c r="E10" s="2" t="s">
        <v>16</v>
      </c>
      <c r="F10" s="4">
        <v>90.5145</v>
      </c>
      <c r="G10" s="5" t="s">
        <v>12</v>
      </c>
      <c r="H10" s="2" t="s">
        <v>33</v>
      </c>
    </row>
    <row r="11" spans="1:8" x14ac:dyDescent="0.25">
      <c r="A11" s="6" t="s">
        <v>32</v>
      </c>
      <c r="B11" s="7">
        <v>46259</v>
      </c>
      <c r="C11" s="6" t="s">
        <v>17</v>
      </c>
      <c r="D11" s="6" t="s">
        <v>18</v>
      </c>
      <c r="E11" s="6" t="s">
        <v>19</v>
      </c>
      <c r="F11" s="8">
        <v>100.5896</v>
      </c>
      <c r="G11" s="9" t="s">
        <v>12</v>
      </c>
      <c r="H11" s="6" t="s">
        <v>33</v>
      </c>
    </row>
    <row r="12" spans="1:8" x14ac:dyDescent="0.25">
      <c r="A12" s="2" t="s">
        <v>32</v>
      </c>
      <c r="B12" s="3">
        <v>46259</v>
      </c>
      <c r="C12" s="2" t="s">
        <v>20</v>
      </c>
      <c r="D12" s="2" t="s">
        <v>21</v>
      </c>
      <c r="E12" s="2" t="s">
        <v>22</v>
      </c>
      <c r="F12" s="4">
        <v>101.4411</v>
      </c>
      <c r="G12" s="5" t="s">
        <v>12</v>
      </c>
      <c r="H12" s="2" t="s">
        <v>33</v>
      </c>
    </row>
    <row r="13" spans="1:8" x14ac:dyDescent="0.25">
      <c r="A13" s="6" t="s">
        <v>32</v>
      </c>
      <c r="B13" s="7">
        <v>46259</v>
      </c>
      <c r="C13" s="6" t="s">
        <v>23</v>
      </c>
      <c r="D13" s="6" t="s">
        <v>24</v>
      </c>
      <c r="E13" s="6" t="s">
        <v>25</v>
      </c>
      <c r="F13" s="8">
        <v>101.7242</v>
      </c>
      <c r="G13" s="9" t="s">
        <v>12</v>
      </c>
      <c r="H13" s="6" t="s">
        <v>33</v>
      </c>
    </row>
    <row r="14" spans="1:8" x14ac:dyDescent="0.25">
      <c r="A14" s="2" t="s">
        <v>32</v>
      </c>
      <c r="B14" s="3">
        <v>46259</v>
      </c>
      <c r="C14" s="2" t="s">
        <v>26</v>
      </c>
      <c r="D14" s="2" t="s">
        <v>27</v>
      </c>
      <c r="E14" s="2" t="s">
        <v>28</v>
      </c>
      <c r="F14" s="4">
        <v>102.2168</v>
      </c>
      <c r="G14" s="5" t="s">
        <v>12</v>
      </c>
      <c r="H14" s="2" t="s">
        <v>33</v>
      </c>
    </row>
    <row r="15" spans="1:8" x14ac:dyDescent="0.25">
      <c r="A15" s="6" t="s">
        <v>32</v>
      </c>
      <c r="B15" s="7">
        <v>46259</v>
      </c>
      <c r="C15" s="6" t="s">
        <v>29</v>
      </c>
      <c r="D15" s="6" t="s">
        <v>30</v>
      </c>
      <c r="E15" s="6" t="s">
        <v>31</v>
      </c>
      <c r="F15" s="8">
        <v>100.1787</v>
      </c>
      <c r="G15" s="9" t="s">
        <v>12</v>
      </c>
      <c r="H15" s="6" t="s">
        <v>33</v>
      </c>
    </row>
    <row r="16" spans="1:8" x14ac:dyDescent="0.25">
      <c r="A16" s="2" t="s">
        <v>34</v>
      </c>
      <c r="B16" s="3">
        <v>46260</v>
      </c>
      <c r="C16" s="2" t="s">
        <v>9</v>
      </c>
      <c r="D16" s="2" t="s">
        <v>10</v>
      </c>
      <c r="E16" s="2" t="s">
        <v>11</v>
      </c>
      <c r="F16" s="4">
        <v>95.4781</v>
      </c>
      <c r="G16" s="5" t="s">
        <v>12</v>
      </c>
      <c r="H16" s="2" t="s">
        <v>35</v>
      </c>
    </row>
    <row r="17" spans="1:8" x14ac:dyDescent="0.25">
      <c r="A17" s="6" t="s">
        <v>34</v>
      </c>
      <c r="B17" s="7">
        <v>46260</v>
      </c>
      <c r="C17" s="6" t="s">
        <v>14</v>
      </c>
      <c r="D17" s="6" t="s">
        <v>15</v>
      </c>
      <c r="E17" s="6" t="s">
        <v>16</v>
      </c>
      <c r="F17" s="8">
        <v>90.7249</v>
      </c>
      <c r="G17" s="9" t="s">
        <v>12</v>
      </c>
      <c r="H17" s="6" t="s">
        <v>35</v>
      </c>
    </row>
    <row r="18" spans="1:8" x14ac:dyDescent="0.25">
      <c r="A18" s="2" t="s">
        <v>34</v>
      </c>
      <c r="B18" s="3">
        <v>46260</v>
      </c>
      <c r="C18" s="2" t="s">
        <v>17</v>
      </c>
      <c r="D18" s="2" t="s">
        <v>18</v>
      </c>
      <c r="E18" s="2" t="s">
        <v>19</v>
      </c>
      <c r="F18" s="4">
        <v>100.6923</v>
      </c>
      <c r="G18" s="5" t="s">
        <v>12</v>
      </c>
      <c r="H18" s="2" t="s">
        <v>35</v>
      </c>
    </row>
    <row r="19" spans="1:8" x14ac:dyDescent="0.25">
      <c r="A19" s="6" t="s">
        <v>34</v>
      </c>
      <c r="B19" s="7">
        <v>46260</v>
      </c>
      <c r="C19" s="6" t="s">
        <v>20</v>
      </c>
      <c r="D19" s="6" t="s">
        <v>21</v>
      </c>
      <c r="E19" s="6" t="s">
        <v>22</v>
      </c>
      <c r="F19" s="8">
        <v>101.4737</v>
      </c>
      <c r="G19" s="9" t="s">
        <v>12</v>
      </c>
      <c r="H19" s="6" t="s">
        <v>35</v>
      </c>
    </row>
    <row r="20" spans="1:8" x14ac:dyDescent="0.25">
      <c r="A20" s="2" t="s">
        <v>34</v>
      </c>
      <c r="B20" s="3">
        <v>46260</v>
      </c>
      <c r="C20" s="2" t="s">
        <v>23</v>
      </c>
      <c r="D20" s="2" t="s">
        <v>24</v>
      </c>
      <c r="E20" s="2" t="s">
        <v>25</v>
      </c>
      <c r="F20" s="4">
        <v>101.7728</v>
      </c>
      <c r="G20" s="5" t="s">
        <v>12</v>
      </c>
      <c r="H20" s="2" t="s">
        <v>35</v>
      </c>
    </row>
    <row r="21" spans="1:8" x14ac:dyDescent="0.25">
      <c r="A21" s="6" t="s">
        <v>34</v>
      </c>
      <c r="B21" s="7">
        <v>46260</v>
      </c>
      <c r="C21" s="6" t="s">
        <v>26</v>
      </c>
      <c r="D21" s="6" t="s">
        <v>27</v>
      </c>
      <c r="E21" s="6" t="s">
        <v>28</v>
      </c>
      <c r="F21" s="8">
        <v>102.2791</v>
      </c>
      <c r="G21" s="9" t="s">
        <v>12</v>
      </c>
      <c r="H21" s="6" t="s">
        <v>35</v>
      </c>
    </row>
    <row r="22" spans="1:8" x14ac:dyDescent="0.25">
      <c r="A22" s="2" t="s">
        <v>34</v>
      </c>
      <c r="B22" s="3">
        <v>46260</v>
      </c>
      <c r="C22" s="2" t="s">
        <v>29</v>
      </c>
      <c r="D22" s="2" t="s">
        <v>30</v>
      </c>
      <c r="E22" s="2" t="s">
        <v>31</v>
      </c>
      <c r="F22" s="4">
        <v>100.31</v>
      </c>
      <c r="G22" s="5" t="s">
        <v>12</v>
      </c>
      <c r="H22" s="2" t="s">
        <v>35</v>
      </c>
    </row>
    <row r="23" spans="1:8" x14ac:dyDescent="0.25">
      <c r="A23" s="6" t="s">
        <v>36</v>
      </c>
      <c r="B23" s="7">
        <v>46261</v>
      </c>
      <c r="C23" s="6" t="s">
        <v>9</v>
      </c>
      <c r="D23" s="6" t="s">
        <v>10</v>
      </c>
      <c r="E23" s="6" t="s">
        <v>11</v>
      </c>
      <c r="F23" s="8">
        <v>95.6966</v>
      </c>
      <c r="G23" s="9" t="s">
        <v>12</v>
      </c>
      <c r="H23" s="6" t="s">
        <v>37</v>
      </c>
    </row>
    <row r="24" spans="1:8" x14ac:dyDescent="0.25">
      <c r="A24" s="2" t="s">
        <v>36</v>
      </c>
      <c r="B24" s="3">
        <v>46261</v>
      </c>
      <c r="C24" s="2" t="s">
        <v>14</v>
      </c>
      <c r="D24" s="2" t="s">
        <v>15</v>
      </c>
      <c r="E24" s="2" t="s">
        <v>16</v>
      </c>
      <c r="F24" s="4">
        <v>91.1439</v>
      </c>
      <c r="G24" s="5" t="s">
        <v>12</v>
      </c>
      <c r="H24" s="2" t="s">
        <v>37</v>
      </c>
    </row>
    <row r="25" spans="1:8" x14ac:dyDescent="0.25">
      <c r="A25" s="6" t="s">
        <v>36</v>
      </c>
      <c r="B25" s="7">
        <v>46261</v>
      </c>
      <c r="C25" s="6" t="s">
        <v>17</v>
      </c>
      <c r="D25" s="6" t="s">
        <v>18</v>
      </c>
      <c r="E25" s="6" t="s">
        <v>19</v>
      </c>
      <c r="F25" s="8">
        <v>100.7547</v>
      </c>
      <c r="G25" s="9" t="s">
        <v>12</v>
      </c>
      <c r="H25" s="6" t="s">
        <v>37</v>
      </c>
    </row>
    <row r="26" spans="1:8" x14ac:dyDescent="0.25">
      <c r="A26" s="2" t="s">
        <v>36</v>
      </c>
      <c r="B26" s="3">
        <v>46261</v>
      </c>
      <c r="C26" s="2" t="s">
        <v>20</v>
      </c>
      <c r="D26" s="2" t="s">
        <v>21</v>
      </c>
      <c r="E26" s="2" t="s">
        <v>22</v>
      </c>
      <c r="F26" s="4">
        <v>101.4961</v>
      </c>
      <c r="G26" s="5" t="s">
        <v>12</v>
      </c>
      <c r="H26" s="2" t="s">
        <v>37</v>
      </c>
    </row>
    <row r="27" spans="1:8" x14ac:dyDescent="0.25">
      <c r="A27" s="6" t="s">
        <v>36</v>
      </c>
      <c r="B27" s="7">
        <v>46261</v>
      </c>
      <c r="C27" s="6" t="s">
        <v>23</v>
      </c>
      <c r="D27" s="6" t="s">
        <v>24</v>
      </c>
      <c r="E27" s="6" t="s">
        <v>25</v>
      </c>
      <c r="F27" s="8">
        <v>101.7892</v>
      </c>
      <c r="G27" s="9" t="s">
        <v>12</v>
      </c>
      <c r="H27" s="6" t="s">
        <v>37</v>
      </c>
    </row>
    <row r="28" spans="1:8" x14ac:dyDescent="0.25">
      <c r="A28" s="2" t="s">
        <v>36</v>
      </c>
      <c r="B28" s="3">
        <v>46261</v>
      </c>
      <c r="C28" s="2" t="s">
        <v>26</v>
      </c>
      <c r="D28" s="2" t="s">
        <v>27</v>
      </c>
      <c r="E28" s="2" t="s">
        <v>28</v>
      </c>
      <c r="F28" s="4">
        <v>102.3337</v>
      </c>
      <c r="G28" s="5" t="s">
        <v>12</v>
      </c>
      <c r="H28" s="2" t="s">
        <v>37</v>
      </c>
    </row>
    <row r="29" spans="1:8" x14ac:dyDescent="0.25">
      <c r="A29" s="6" t="s">
        <v>36</v>
      </c>
      <c r="B29" s="7">
        <v>46261</v>
      </c>
      <c r="C29" s="6" t="s">
        <v>29</v>
      </c>
      <c r="D29" s="6" t="s">
        <v>30</v>
      </c>
      <c r="E29" s="6" t="s">
        <v>31</v>
      </c>
      <c r="F29" s="8">
        <v>100.3185</v>
      </c>
      <c r="G29" s="9" t="s">
        <v>12</v>
      </c>
      <c r="H29" s="6" t="s">
        <v>37</v>
      </c>
    </row>
    <row r="30" spans="1:8" x14ac:dyDescent="0.25">
      <c r="A30" s="2" t="s">
        <v>38</v>
      </c>
      <c r="B30" s="3">
        <v>46262</v>
      </c>
      <c r="C30" s="2" t="s">
        <v>9</v>
      </c>
      <c r="D30" s="2" t="s">
        <v>10</v>
      </c>
      <c r="E30" s="2" t="s">
        <v>11</v>
      </c>
      <c r="F30" s="4">
        <v>95.7763</v>
      </c>
      <c r="G30" s="5" t="s">
        <v>12</v>
      </c>
      <c r="H30" s="2" t="s">
        <v>39</v>
      </c>
    </row>
    <row r="31" spans="1:8" x14ac:dyDescent="0.25">
      <c r="A31" s="6" t="s">
        <v>38</v>
      </c>
      <c r="B31" s="7">
        <v>46262</v>
      </c>
      <c r="C31" s="6" t="s">
        <v>14</v>
      </c>
      <c r="D31" s="6" t="s">
        <v>15</v>
      </c>
      <c r="E31" s="6" t="s">
        <v>16</v>
      </c>
      <c r="F31" s="8">
        <v>91.0569</v>
      </c>
      <c r="G31" s="9" t="s">
        <v>12</v>
      </c>
      <c r="H31" s="6" t="s">
        <v>39</v>
      </c>
    </row>
    <row r="32" spans="1:8" x14ac:dyDescent="0.25">
      <c r="A32" s="2" t="s">
        <v>38</v>
      </c>
      <c r="B32" s="3">
        <v>46262</v>
      </c>
      <c r="C32" s="2" t="s">
        <v>17</v>
      </c>
      <c r="D32" s="2" t="s">
        <v>18</v>
      </c>
      <c r="E32" s="2" t="s">
        <v>19</v>
      </c>
      <c r="F32" s="4">
        <v>100.7623</v>
      </c>
      <c r="G32" s="5" t="s">
        <v>12</v>
      </c>
      <c r="H32" s="2" t="s">
        <v>39</v>
      </c>
    </row>
    <row r="33" spans="1:8" x14ac:dyDescent="0.25">
      <c r="A33" s="6" t="s">
        <v>38</v>
      </c>
      <c r="B33" s="7">
        <v>46262</v>
      </c>
      <c r="C33" s="6" t="s">
        <v>20</v>
      </c>
      <c r="D33" s="6" t="s">
        <v>21</v>
      </c>
      <c r="E33" s="6" t="s">
        <v>22</v>
      </c>
      <c r="F33" s="8">
        <v>101.498</v>
      </c>
      <c r="G33" s="9" t="s">
        <v>12</v>
      </c>
      <c r="H33" s="6" t="s">
        <v>39</v>
      </c>
    </row>
    <row r="34" spans="1:8" x14ac:dyDescent="0.25">
      <c r="A34" s="2" t="s">
        <v>38</v>
      </c>
      <c r="B34" s="3">
        <v>46262</v>
      </c>
      <c r="C34" s="2" t="s">
        <v>23</v>
      </c>
      <c r="D34" s="2" t="s">
        <v>24</v>
      </c>
      <c r="E34" s="2" t="s">
        <v>25</v>
      </c>
      <c r="F34" s="4">
        <v>101.7891</v>
      </c>
      <c r="G34" s="5" t="s">
        <v>12</v>
      </c>
      <c r="H34" s="2" t="s">
        <v>39</v>
      </c>
    </row>
    <row r="35" spans="1:8" x14ac:dyDescent="0.25">
      <c r="A35" s="6" t="s">
        <v>38</v>
      </c>
      <c r="B35" s="7">
        <v>46262</v>
      </c>
      <c r="C35" s="6" t="s">
        <v>26</v>
      </c>
      <c r="D35" s="6" t="s">
        <v>27</v>
      </c>
      <c r="E35" s="6" t="s">
        <v>28</v>
      </c>
      <c r="F35" s="8">
        <v>102.3361</v>
      </c>
      <c r="G35" s="9" t="s">
        <v>12</v>
      </c>
      <c r="H35" s="6" t="s">
        <v>39</v>
      </c>
    </row>
    <row r="36" spans="1:8" x14ac:dyDescent="0.25">
      <c r="A36" s="2" t="s">
        <v>38</v>
      </c>
      <c r="B36" s="3">
        <v>46262</v>
      </c>
      <c r="C36" s="2" t="s">
        <v>29</v>
      </c>
      <c r="D36" s="2" t="s">
        <v>30</v>
      </c>
      <c r="E36" s="2" t="s">
        <v>31</v>
      </c>
      <c r="F36" s="4">
        <v>100.3252</v>
      </c>
      <c r="G36" s="5" t="s">
        <v>12</v>
      </c>
      <c r="H36" s="2" t="s">
        <v>39</v>
      </c>
    </row>
    <row r="37" spans="1:8" x14ac:dyDescent="0.25">
      <c r="A37" s="6" t="s">
        <v>40</v>
      </c>
      <c r="B37" s="7">
        <v>46265</v>
      </c>
      <c r="C37" s="6" t="s">
        <v>9</v>
      </c>
      <c r="D37" s="6" t="s">
        <v>10</v>
      </c>
      <c r="E37" s="6" t="s">
        <v>11</v>
      </c>
      <c r="F37" s="8">
        <v>95.7863</v>
      </c>
      <c r="G37" s="9" t="s">
        <v>12</v>
      </c>
      <c r="H37" s="6" t="s">
        <v>41</v>
      </c>
    </row>
    <row r="38" spans="1:8" x14ac:dyDescent="0.25">
      <c r="A38" s="2" t="s">
        <v>40</v>
      </c>
      <c r="B38" s="3">
        <v>46265</v>
      </c>
      <c r="C38" s="2" t="s">
        <v>14</v>
      </c>
      <c r="D38" s="2" t="s">
        <v>15</v>
      </c>
      <c r="E38" s="2" t="s">
        <v>16</v>
      </c>
      <c r="F38" s="4">
        <v>90.6729</v>
      </c>
      <c r="G38" s="5" t="s">
        <v>12</v>
      </c>
      <c r="H38" s="2" t="s">
        <v>41</v>
      </c>
    </row>
    <row r="39" spans="1:8" x14ac:dyDescent="0.25">
      <c r="A39" s="6" t="s">
        <v>40</v>
      </c>
      <c r="B39" s="7">
        <v>46265</v>
      </c>
      <c r="C39" s="6" t="s">
        <v>17</v>
      </c>
      <c r="D39" s="6" t="s">
        <v>18</v>
      </c>
      <c r="E39" s="6" t="s">
        <v>19</v>
      </c>
      <c r="F39" s="8">
        <v>100.7545</v>
      </c>
      <c r="G39" s="9" t="s">
        <v>12</v>
      </c>
      <c r="H39" s="6" t="s">
        <v>41</v>
      </c>
    </row>
    <row r="40" spans="1:8" x14ac:dyDescent="0.25">
      <c r="A40" s="2" t="s">
        <v>40</v>
      </c>
      <c r="B40" s="3">
        <v>46265</v>
      </c>
      <c r="C40" s="2" t="s">
        <v>20</v>
      </c>
      <c r="D40" s="2" t="s">
        <v>21</v>
      </c>
      <c r="E40" s="2" t="s">
        <v>22</v>
      </c>
      <c r="F40" s="4">
        <v>101.4657</v>
      </c>
      <c r="G40" s="5" t="s">
        <v>12</v>
      </c>
      <c r="H40" s="2" t="s">
        <v>41</v>
      </c>
    </row>
    <row r="41" spans="1:8" x14ac:dyDescent="0.25">
      <c r="A41" s="6" t="s">
        <v>40</v>
      </c>
      <c r="B41" s="7">
        <v>46265</v>
      </c>
      <c r="C41" s="6" t="s">
        <v>23</v>
      </c>
      <c r="D41" s="6" t="s">
        <v>24</v>
      </c>
      <c r="E41" s="6" t="s">
        <v>25</v>
      </c>
      <c r="F41" s="8">
        <v>101.7014</v>
      </c>
      <c r="G41" s="9" t="s">
        <v>12</v>
      </c>
      <c r="H41" s="6" t="s">
        <v>41</v>
      </c>
    </row>
    <row r="42" spans="1:8" x14ac:dyDescent="0.25">
      <c r="A42" s="2" t="s">
        <v>40</v>
      </c>
      <c r="B42" s="3">
        <v>46265</v>
      </c>
      <c r="C42" s="2" t="s">
        <v>26</v>
      </c>
      <c r="D42" s="2" t="s">
        <v>27</v>
      </c>
      <c r="E42" s="2" t="s">
        <v>28</v>
      </c>
      <c r="F42" s="4">
        <v>102.3201</v>
      </c>
      <c r="G42" s="5" t="s">
        <v>12</v>
      </c>
      <c r="H42" s="2" t="s">
        <v>41</v>
      </c>
    </row>
    <row r="43" spans="1:8" x14ac:dyDescent="0.25">
      <c r="A43" s="6" t="s">
        <v>40</v>
      </c>
      <c r="B43" s="7">
        <v>46265</v>
      </c>
      <c r="C43" s="6" t="s">
        <v>29</v>
      </c>
      <c r="D43" s="6" t="s">
        <v>30</v>
      </c>
      <c r="E43" s="6" t="s">
        <v>31</v>
      </c>
      <c r="F43" s="8">
        <v>100.2951</v>
      </c>
      <c r="G43" s="9" t="s">
        <v>12</v>
      </c>
      <c r="H43" s="6" t="s">
        <v>41</v>
      </c>
    </row>
    <row r="44" spans="1:8" x14ac:dyDescent="0.25">
      <c r="A44" s="2" t="s">
        <v>42</v>
      </c>
      <c r="B44" s="3">
        <v>46267</v>
      </c>
      <c r="C44" s="2" t="s">
        <v>9</v>
      </c>
      <c r="D44" s="2" t="s">
        <v>10</v>
      </c>
      <c r="E44" s="2" t="s">
        <v>11</v>
      </c>
      <c r="F44" s="4">
        <v>95.5865</v>
      </c>
      <c r="G44" s="5" t="s">
        <v>12</v>
      </c>
      <c r="H44" s="2" t="s">
        <v>43</v>
      </c>
    </row>
    <row r="45" spans="1:8" x14ac:dyDescent="0.25">
      <c r="A45" s="6" t="s">
        <v>42</v>
      </c>
      <c r="B45" s="7">
        <v>46267</v>
      </c>
      <c r="C45" s="6" t="s">
        <v>14</v>
      </c>
      <c r="D45" s="6" t="s">
        <v>15</v>
      </c>
      <c r="E45" s="6" t="s">
        <v>16</v>
      </c>
      <c r="F45" s="8">
        <v>89.5483</v>
      </c>
      <c r="G45" s="9" t="s">
        <v>12</v>
      </c>
      <c r="H45" s="6" t="s">
        <v>43</v>
      </c>
    </row>
    <row r="46" spans="1:8" x14ac:dyDescent="0.25">
      <c r="A46" s="2" t="s">
        <v>42</v>
      </c>
      <c r="B46" s="3">
        <v>46267</v>
      </c>
      <c r="C46" s="2" t="s">
        <v>17</v>
      </c>
      <c r="D46" s="2" t="s">
        <v>18</v>
      </c>
      <c r="E46" s="2" t="s">
        <v>19</v>
      </c>
      <c r="F46" s="4">
        <v>100.7169</v>
      </c>
      <c r="G46" s="5" t="s">
        <v>12</v>
      </c>
      <c r="H46" s="2" t="s">
        <v>43</v>
      </c>
    </row>
    <row r="47" spans="1:8" x14ac:dyDescent="0.25">
      <c r="A47" s="6" t="s">
        <v>42</v>
      </c>
      <c r="B47" s="7">
        <v>46267</v>
      </c>
      <c r="C47" s="6" t="s">
        <v>20</v>
      </c>
      <c r="D47" s="6" t="s">
        <v>21</v>
      </c>
      <c r="E47" s="6" t="s">
        <v>22</v>
      </c>
      <c r="F47" s="8">
        <v>101.4484</v>
      </c>
      <c r="G47" s="9" t="s">
        <v>12</v>
      </c>
      <c r="H47" s="6" t="s">
        <v>43</v>
      </c>
    </row>
    <row r="48" spans="1:8" x14ac:dyDescent="0.25">
      <c r="A48" s="2" t="s">
        <v>42</v>
      </c>
      <c r="B48" s="3">
        <v>46267</v>
      </c>
      <c r="C48" s="2" t="s">
        <v>23</v>
      </c>
      <c r="D48" s="2" t="s">
        <v>24</v>
      </c>
      <c r="E48" s="2" t="s">
        <v>25</v>
      </c>
      <c r="F48" s="4">
        <v>101.6898</v>
      </c>
      <c r="G48" s="5" t="s">
        <v>12</v>
      </c>
      <c r="H48" s="2" t="s">
        <v>43</v>
      </c>
    </row>
    <row r="49" spans="1:8" x14ac:dyDescent="0.25">
      <c r="A49" s="6" t="s">
        <v>42</v>
      </c>
      <c r="B49" s="7">
        <v>46267</v>
      </c>
      <c r="C49" s="6" t="s">
        <v>26</v>
      </c>
      <c r="D49" s="6" t="s">
        <v>27</v>
      </c>
      <c r="E49" s="6" t="s">
        <v>28</v>
      </c>
      <c r="F49" s="8">
        <v>102.3056</v>
      </c>
      <c r="G49" s="9" t="s">
        <v>12</v>
      </c>
      <c r="H49" s="6" t="s">
        <v>43</v>
      </c>
    </row>
    <row r="50" spans="1:8" x14ac:dyDescent="0.25">
      <c r="A50" s="2" t="s">
        <v>42</v>
      </c>
      <c r="B50" s="3">
        <v>46267</v>
      </c>
      <c r="C50" s="2" t="s">
        <v>29</v>
      </c>
      <c r="D50" s="2" t="s">
        <v>30</v>
      </c>
      <c r="E50" s="2" t="s">
        <v>31</v>
      </c>
      <c r="F50" s="4">
        <v>100.3351</v>
      </c>
      <c r="G50" s="5" t="s">
        <v>12</v>
      </c>
      <c r="H50" s="2" t="s">
        <v>43</v>
      </c>
    </row>
    <row r="51" spans="1:8" x14ac:dyDescent="0.25">
      <c r="A51" s="6" t="s">
        <v>44</v>
      </c>
      <c r="B51" s="7">
        <v>46268</v>
      </c>
      <c r="C51" s="6" t="s">
        <v>9</v>
      </c>
      <c r="D51" s="6" t="s">
        <v>10</v>
      </c>
      <c r="E51" s="6" t="s">
        <v>11</v>
      </c>
      <c r="F51" s="8">
        <v>95.7349</v>
      </c>
      <c r="G51" s="9" t="s">
        <v>12</v>
      </c>
      <c r="H51" s="6" t="s">
        <v>45</v>
      </c>
    </row>
    <row r="52" spans="1:8" x14ac:dyDescent="0.25">
      <c r="A52" s="2" t="s">
        <v>44</v>
      </c>
      <c r="B52" s="3">
        <v>46268</v>
      </c>
      <c r="C52" s="2" t="s">
        <v>14</v>
      </c>
      <c r="D52" s="2" t="s">
        <v>15</v>
      </c>
      <c r="E52" s="2" t="s">
        <v>16</v>
      </c>
      <c r="F52" s="4">
        <v>89.997</v>
      </c>
      <c r="G52" s="5" t="s">
        <v>12</v>
      </c>
      <c r="H52" s="2" t="s">
        <v>45</v>
      </c>
    </row>
    <row r="53" spans="1:8" x14ac:dyDescent="0.25">
      <c r="A53" s="6" t="s">
        <v>44</v>
      </c>
      <c r="B53" s="7">
        <v>46268</v>
      </c>
      <c r="C53" s="6" t="s">
        <v>17</v>
      </c>
      <c r="D53" s="6" t="s">
        <v>18</v>
      </c>
      <c r="E53" s="6" t="s">
        <v>19</v>
      </c>
      <c r="F53" s="8">
        <v>100.7894</v>
      </c>
      <c r="G53" s="9" t="s">
        <v>12</v>
      </c>
      <c r="H53" s="6" t="s">
        <v>45</v>
      </c>
    </row>
    <row r="54" spans="1:8" x14ac:dyDescent="0.25">
      <c r="A54" s="2" t="s">
        <v>44</v>
      </c>
      <c r="B54" s="3">
        <v>46268</v>
      </c>
      <c r="C54" s="2" t="s">
        <v>20</v>
      </c>
      <c r="D54" s="2" t="s">
        <v>21</v>
      </c>
      <c r="E54" s="2" t="s">
        <v>22</v>
      </c>
      <c r="F54" s="4">
        <v>101.5235</v>
      </c>
      <c r="G54" s="5" t="s">
        <v>12</v>
      </c>
      <c r="H54" s="2" t="s">
        <v>45</v>
      </c>
    </row>
    <row r="55" spans="1:8" x14ac:dyDescent="0.25">
      <c r="A55" s="6" t="s">
        <v>44</v>
      </c>
      <c r="B55" s="7">
        <v>46268</v>
      </c>
      <c r="C55" s="6" t="s">
        <v>23</v>
      </c>
      <c r="D55" s="6" t="s">
        <v>24</v>
      </c>
      <c r="E55" s="6" t="s">
        <v>25</v>
      </c>
      <c r="F55" s="8">
        <v>101.7542</v>
      </c>
      <c r="G55" s="9" t="s">
        <v>12</v>
      </c>
      <c r="H55" s="6" t="s">
        <v>45</v>
      </c>
    </row>
    <row r="56" spans="1:8" x14ac:dyDescent="0.25">
      <c r="A56" s="2" t="s">
        <v>44</v>
      </c>
      <c r="B56" s="3">
        <v>46268</v>
      </c>
      <c r="C56" s="2" t="s">
        <v>26</v>
      </c>
      <c r="D56" s="2" t="s">
        <v>27</v>
      </c>
      <c r="E56" s="2" t="s">
        <v>28</v>
      </c>
      <c r="F56" s="4">
        <v>102.3556</v>
      </c>
      <c r="G56" s="5" t="s">
        <v>12</v>
      </c>
      <c r="H56" s="2" t="s">
        <v>45</v>
      </c>
    </row>
    <row r="57" spans="1:8" x14ac:dyDescent="0.25">
      <c r="A57" s="6" t="s">
        <v>44</v>
      </c>
      <c r="B57" s="7">
        <v>46268</v>
      </c>
      <c r="C57" s="6" t="s">
        <v>29</v>
      </c>
      <c r="D57" s="6" t="s">
        <v>30</v>
      </c>
      <c r="E57" s="6" t="s">
        <v>31</v>
      </c>
      <c r="F57" s="8">
        <v>100.4024</v>
      </c>
      <c r="G57" s="9" t="s">
        <v>12</v>
      </c>
      <c r="H57" s="6" t="s">
        <v>45</v>
      </c>
    </row>
    <row r="58" spans="1:8" x14ac:dyDescent="0.25">
      <c r="A58" s="2" t="s">
        <v>46</v>
      </c>
      <c r="B58" s="3">
        <v>46269</v>
      </c>
      <c r="C58" s="2" t="s">
        <v>9</v>
      </c>
      <c r="D58" s="2" t="s">
        <v>10</v>
      </c>
      <c r="E58" s="2" t="s">
        <v>11</v>
      </c>
      <c r="F58" s="4">
        <v>95.9002</v>
      </c>
      <c r="G58" s="5" t="s">
        <v>12</v>
      </c>
      <c r="H58" s="2" t="s">
        <v>47</v>
      </c>
    </row>
    <row r="59" spans="1:8" x14ac:dyDescent="0.25">
      <c r="A59" s="6" t="s">
        <v>46</v>
      </c>
      <c r="B59" s="7">
        <v>46269</v>
      </c>
      <c r="C59" s="6" t="s">
        <v>14</v>
      </c>
      <c r="D59" s="6" t="s">
        <v>15</v>
      </c>
      <c r="E59" s="6" t="s">
        <v>16</v>
      </c>
      <c r="F59" s="8">
        <v>90.1002</v>
      </c>
      <c r="G59" s="9" t="s">
        <v>12</v>
      </c>
      <c r="H59" s="6" t="s">
        <v>47</v>
      </c>
    </row>
    <row r="60" spans="1:8" x14ac:dyDescent="0.25">
      <c r="A60" s="2" t="s">
        <v>46</v>
      </c>
      <c r="B60" s="3">
        <v>46269</v>
      </c>
      <c r="C60" s="2" t="s">
        <v>17</v>
      </c>
      <c r="D60" s="2" t="s">
        <v>18</v>
      </c>
      <c r="E60" s="2" t="s">
        <v>19</v>
      </c>
      <c r="F60" s="4">
        <v>100.8031</v>
      </c>
      <c r="G60" s="5" t="s">
        <v>12</v>
      </c>
      <c r="H60" s="2" t="s">
        <v>47</v>
      </c>
    </row>
    <row r="61" spans="1:8" x14ac:dyDescent="0.25">
      <c r="A61" s="6" t="s">
        <v>46</v>
      </c>
      <c r="B61" s="7">
        <v>46269</v>
      </c>
      <c r="C61" s="6" t="s">
        <v>20</v>
      </c>
      <c r="D61" s="6" t="s">
        <v>21</v>
      </c>
      <c r="E61" s="6" t="s">
        <v>22</v>
      </c>
      <c r="F61" s="8">
        <v>101.5719</v>
      </c>
      <c r="G61" s="9" t="s">
        <v>12</v>
      </c>
      <c r="H61" s="6" t="s">
        <v>47</v>
      </c>
    </row>
    <row r="62" spans="1:8" x14ac:dyDescent="0.25">
      <c r="A62" s="2" t="s">
        <v>46</v>
      </c>
      <c r="B62" s="3">
        <v>46269</v>
      </c>
      <c r="C62" s="2" t="s">
        <v>23</v>
      </c>
      <c r="D62" s="2" t="s">
        <v>24</v>
      </c>
      <c r="E62" s="2" t="s">
        <v>25</v>
      </c>
      <c r="F62" s="4">
        <v>101.7811</v>
      </c>
      <c r="G62" s="5" t="s">
        <v>12</v>
      </c>
      <c r="H62" s="2" t="s">
        <v>47</v>
      </c>
    </row>
    <row r="63" spans="1:8" x14ac:dyDescent="0.25">
      <c r="A63" s="6" t="s">
        <v>46</v>
      </c>
      <c r="B63" s="7">
        <v>46269</v>
      </c>
      <c r="C63" s="6" t="s">
        <v>26</v>
      </c>
      <c r="D63" s="6" t="s">
        <v>27</v>
      </c>
      <c r="E63" s="6" t="s">
        <v>28</v>
      </c>
      <c r="F63" s="8">
        <v>102.3674</v>
      </c>
      <c r="G63" s="9" t="s">
        <v>12</v>
      </c>
      <c r="H63" s="6" t="s">
        <v>47</v>
      </c>
    </row>
    <row r="64" spans="1:8" x14ac:dyDescent="0.25">
      <c r="A64" s="2" t="s">
        <v>46</v>
      </c>
      <c r="B64" s="3">
        <v>46269</v>
      </c>
      <c r="C64" s="2" t="s">
        <v>29</v>
      </c>
      <c r="D64" s="2" t="s">
        <v>30</v>
      </c>
      <c r="E64" s="2" t="s">
        <v>31</v>
      </c>
      <c r="F64" s="4">
        <v>100.4236</v>
      </c>
      <c r="G64" s="5" t="s">
        <v>12</v>
      </c>
      <c r="H64" s="2" t="s">
        <v>47</v>
      </c>
    </row>
    <row r="65" spans="1:8" x14ac:dyDescent="0.25">
      <c r="A65" s="6" t="s">
        <v>48</v>
      </c>
      <c r="B65" s="7">
        <v>46272</v>
      </c>
      <c r="C65" s="6" t="s">
        <v>9</v>
      </c>
      <c r="D65" s="6" t="s">
        <v>10</v>
      </c>
      <c r="E65" s="6" t="s">
        <v>11</v>
      </c>
      <c r="F65" s="8">
        <v>95.9089</v>
      </c>
      <c r="G65" s="9" t="s">
        <v>12</v>
      </c>
      <c r="H65" s="6" t="s">
        <v>49</v>
      </c>
    </row>
    <row r="66" spans="1:8" x14ac:dyDescent="0.25">
      <c r="A66" s="2" t="s">
        <v>48</v>
      </c>
      <c r="B66" s="3">
        <v>46272</v>
      </c>
      <c r="C66" s="2" t="s">
        <v>14</v>
      </c>
      <c r="D66" s="2" t="s">
        <v>15</v>
      </c>
      <c r="E66" s="2" t="s">
        <v>16</v>
      </c>
      <c r="F66" s="4">
        <v>90.1177</v>
      </c>
      <c r="G66" s="5" t="s">
        <v>12</v>
      </c>
      <c r="H66" s="2" t="s">
        <v>49</v>
      </c>
    </row>
    <row r="67" spans="1:8" x14ac:dyDescent="0.25">
      <c r="A67" s="6" t="s">
        <v>48</v>
      </c>
      <c r="B67" s="7">
        <v>46272</v>
      </c>
      <c r="C67" s="6" t="s">
        <v>17</v>
      </c>
      <c r="D67" s="6" t="s">
        <v>18</v>
      </c>
      <c r="E67" s="6" t="s">
        <v>19</v>
      </c>
      <c r="F67" s="8">
        <v>100.8013</v>
      </c>
      <c r="G67" s="9" t="s">
        <v>12</v>
      </c>
      <c r="H67" s="6" t="s">
        <v>49</v>
      </c>
    </row>
    <row r="68" spans="1:8" x14ac:dyDescent="0.25">
      <c r="A68" s="2" t="s">
        <v>48</v>
      </c>
      <c r="B68" s="3">
        <v>46272</v>
      </c>
      <c r="C68" s="2" t="s">
        <v>20</v>
      </c>
      <c r="D68" s="2" t="s">
        <v>21</v>
      </c>
      <c r="E68" s="2" t="s">
        <v>22</v>
      </c>
      <c r="F68" s="4">
        <v>101.5684</v>
      </c>
      <c r="G68" s="5" t="s">
        <v>12</v>
      </c>
      <c r="H68" s="2" t="s">
        <v>49</v>
      </c>
    </row>
    <row r="69" spans="1:8" x14ac:dyDescent="0.25">
      <c r="A69" s="6" t="s">
        <v>48</v>
      </c>
      <c r="B69" s="7">
        <v>46272</v>
      </c>
      <c r="C69" s="6" t="s">
        <v>23</v>
      </c>
      <c r="D69" s="6" t="s">
        <v>24</v>
      </c>
      <c r="E69" s="6" t="s">
        <v>25</v>
      </c>
      <c r="F69" s="8">
        <v>101.7771</v>
      </c>
      <c r="G69" s="9" t="s">
        <v>12</v>
      </c>
      <c r="H69" s="6" t="s">
        <v>49</v>
      </c>
    </row>
    <row r="70" spans="1:8" x14ac:dyDescent="0.25">
      <c r="A70" s="2" t="s">
        <v>48</v>
      </c>
      <c r="B70" s="3">
        <v>46272</v>
      </c>
      <c r="C70" s="2" t="s">
        <v>26</v>
      </c>
      <c r="D70" s="2" t="s">
        <v>27</v>
      </c>
      <c r="E70" s="2" t="s">
        <v>28</v>
      </c>
      <c r="F70" s="4">
        <v>102.3621</v>
      </c>
      <c r="G70" s="5" t="s">
        <v>12</v>
      </c>
      <c r="H70" s="2" t="s">
        <v>49</v>
      </c>
    </row>
    <row r="71" spans="1:8" x14ac:dyDescent="0.25">
      <c r="A71" s="6" t="s">
        <v>48</v>
      </c>
      <c r="B71" s="7">
        <v>46272</v>
      </c>
      <c r="C71" s="6" t="s">
        <v>29</v>
      </c>
      <c r="D71" s="6" t="s">
        <v>30</v>
      </c>
      <c r="E71" s="6" t="s">
        <v>31</v>
      </c>
      <c r="F71" s="8">
        <v>100.4227</v>
      </c>
      <c r="G71" s="9" t="s">
        <v>12</v>
      </c>
      <c r="H71" s="6" t="s">
        <v>49</v>
      </c>
    </row>
    <row r="72" spans="1:8" x14ac:dyDescent="0.25">
      <c r="A72" s="2" t="s">
        <v>50</v>
      </c>
      <c r="B72" s="3">
        <v>46273</v>
      </c>
      <c r="C72" s="2" t="s">
        <v>9</v>
      </c>
      <c r="D72" s="2" t="s">
        <v>10</v>
      </c>
      <c r="E72" s="2" t="s">
        <v>11</v>
      </c>
      <c r="F72" s="4">
        <v>96.1294</v>
      </c>
      <c r="G72" s="5" t="s">
        <v>12</v>
      </c>
      <c r="H72" s="2" t="s">
        <v>51</v>
      </c>
    </row>
    <row r="73" spans="1:8" x14ac:dyDescent="0.25">
      <c r="A73" s="6" t="s">
        <v>50</v>
      </c>
      <c r="B73" s="7">
        <v>46273</v>
      </c>
      <c r="C73" s="6" t="s">
        <v>14</v>
      </c>
      <c r="D73" s="6" t="s">
        <v>15</v>
      </c>
      <c r="E73" s="6" t="s">
        <v>16</v>
      </c>
      <c r="F73" s="8">
        <v>91.0865</v>
      </c>
      <c r="G73" s="9" t="s">
        <v>12</v>
      </c>
      <c r="H73" s="6" t="s">
        <v>51</v>
      </c>
    </row>
    <row r="74" spans="1:8" x14ac:dyDescent="0.25">
      <c r="A74" s="2" t="s">
        <v>50</v>
      </c>
      <c r="B74" s="3">
        <v>46273</v>
      </c>
      <c r="C74" s="2" t="s">
        <v>17</v>
      </c>
      <c r="D74" s="2" t="s">
        <v>18</v>
      </c>
      <c r="E74" s="2" t="s">
        <v>19</v>
      </c>
      <c r="F74" s="4">
        <v>100.7921</v>
      </c>
      <c r="G74" s="5" t="s">
        <v>12</v>
      </c>
      <c r="H74" s="2" t="s">
        <v>51</v>
      </c>
    </row>
    <row r="75" spans="1:8" x14ac:dyDescent="0.25">
      <c r="A75" s="6" t="s">
        <v>50</v>
      </c>
      <c r="B75" s="7">
        <v>46273</v>
      </c>
      <c r="C75" s="6" t="s">
        <v>20</v>
      </c>
      <c r="D75" s="6" t="s">
        <v>21</v>
      </c>
      <c r="E75" s="6" t="s">
        <v>22</v>
      </c>
      <c r="F75" s="8">
        <v>101.558</v>
      </c>
      <c r="G75" s="9" t="s">
        <v>12</v>
      </c>
      <c r="H75" s="6" t="s">
        <v>51</v>
      </c>
    </row>
    <row r="76" spans="1:8" x14ac:dyDescent="0.25">
      <c r="A76" s="2" t="s">
        <v>50</v>
      </c>
      <c r="B76" s="3">
        <v>46273</v>
      </c>
      <c r="C76" s="2" t="s">
        <v>23</v>
      </c>
      <c r="D76" s="2" t="s">
        <v>24</v>
      </c>
      <c r="E76" s="2" t="s">
        <v>25</v>
      </c>
      <c r="F76" s="4">
        <v>101.738</v>
      </c>
      <c r="G76" s="5" t="s">
        <v>12</v>
      </c>
      <c r="H76" s="2" t="s">
        <v>51</v>
      </c>
    </row>
    <row r="77" spans="1:8" x14ac:dyDescent="0.25">
      <c r="A77" s="6" t="s">
        <v>50</v>
      </c>
      <c r="B77" s="7">
        <v>46273</v>
      </c>
      <c r="C77" s="6" t="s">
        <v>26</v>
      </c>
      <c r="D77" s="6" t="s">
        <v>27</v>
      </c>
      <c r="E77" s="6" t="s">
        <v>28</v>
      </c>
      <c r="F77" s="8">
        <v>102.3596</v>
      </c>
      <c r="G77" s="9" t="s">
        <v>12</v>
      </c>
      <c r="H77" s="6" t="s">
        <v>51</v>
      </c>
    </row>
    <row r="78" spans="1:8" x14ac:dyDescent="0.25">
      <c r="A78" s="2" t="s">
        <v>50</v>
      </c>
      <c r="B78" s="3">
        <v>46273</v>
      </c>
      <c r="C78" s="2" t="s">
        <v>29</v>
      </c>
      <c r="D78" s="2" t="s">
        <v>30</v>
      </c>
      <c r="E78" s="2" t="s">
        <v>31</v>
      </c>
      <c r="F78" s="4">
        <v>100.4029</v>
      </c>
      <c r="G78" s="5" t="s">
        <v>12</v>
      </c>
      <c r="H78" s="2" t="s">
        <v>51</v>
      </c>
    </row>
    <row r="79" spans="1:8" x14ac:dyDescent="0.25">
      <c r="A79" s="6" t="s">
        <v>52</v>
      </c>
      <c r="B79" s="7">
        <v>46274</v>
      </c>
      <c r="C79" s="6" t="s">
        <v>9</v>
      </c>
      <c r="D79" s="6" t="s">
        <v>10</v>
      </c>
      <c r="E79" s="6" t="s">
        <v>11</v>
      </c>
      <c r="F79" s="8">
        <v>96.2192</v>
      </c>
      <c r="G79" s="9" t="s">
        <v>12</v>
      </c>
      <c r="H79" s="6" t="s">
        <v>53</v>
      </c>
    </row>
    <row r="80" spans="1:8" x14ac:dyDescent="0.25">
      <c r="A80" s="2" t="s">
        <v>52</v>
      </c>
      <c r="B80" s="3">
        <v>46274</v>
      </c>
      <c r="C80" s="2" t="s">
        <v>14</v>
      </c>
      <c r="D80" s="2" t="s">
        <v>15</v>
      </c>
      <c r="E80" s="2" t="s">
        <v>16</v>
      </c>
      <c r="F80" s="4">
        <v>91.4282</v>
      </c>
      <c r="G80" s="5" t="s">
        <v>12</v>
      </c>
      <c r="H80" s="2" t="s">
        <v>53</v>
      </c>
    </row>
    <row r="81" spans="1:8" x14ac:dyDescent="0.25">
      <c r="A81" s="6" t="s">
        <v>52</v>
      </c>
      <c r="B81" s="7">
        <v>46274</v>
      </c>
      <c r="C81" s="6" t="s">
        <v>17</v>
      </c>
      <c r="D81" s="6" t="s">
        <v>18</v>
      </c>
      <c r="E81" s="6" t="s">
        <v>19</v>
      </c>
      <c r="F81" s="8">
        <v>100.8687</v>
      </c>
      <c r="G81" s="9" t="s">
        <v>12</v>
      </c>
      <c r="H81" s="6" t="s">
        <v>53</v>
      </c>
    </row>
    <row r="82" spans="1:8" x14ac:dyDescent="0.25">
      <c r="A82" s="2" t="s">
        <v>52</v>
      </c>
      <c r="B82" s="3">
        <v>46274</v>
      </c>
      <c r="C82" s="2" t="s">
        <v>20</v>
      </c>
      <c r="D82" s="2" t="s">
        <v>21</v>
      </c>
      <c r="E82" s="2" t="s">
        <v>22</v>
      </c>
      <c r="F82" s="4">
        <v>101.5843</v>
      </c>
      <c r="G82" s="5" t="s">
        <v>12</v>
      </c>
      <c r="H82" s="2" t="s">
        <v>53</v>
      </c>
    </row>
    <row r="83" spans="1:8" x14ac:dyDescent="0.25">
      <c r="A83" s="6" t="s">
        <v>52</v>
      </c>
      <c r="B83" s="7">
        <v>46274</v>
      </c>
      <c r="C83" s="6" t="s">
        <v>23</v>
      </c>
      <c r="D83" s="6" t="s">
        <v>24</v>
      </c>
      <c r="E83" s="6" t="s">
        <v>25</v>
      </c>
      <c r="F83" s="8">
        <v>101.7159</v>
      </c>
      <c r="G83" s="9" t="s">
        <v>12</v>
      </c>
      <c r="H83" s="6" t="s">
        <v>53</v>
      </c>
    </row>
    <row r="84" spans="1:8" x14ac:dyDescent="0.25">
      <c r="A84" s="2" t="s">
        <v>52</v>
      </c>
      <c r="B84" s="3">
        <v>46274</v>
      </c>
      <c r="C84" s="2" t="s">
        <v>26</v>
      </c>
      <c r="D84" s="2" t="s">
        <v>27</v>
      </c>
      <c r="E84" s="2" t="s">
        <v>28</v>
      </c>
      <c r="F84" s="4">
        <v>102.3883</v>
      </c>
      <c r="G84" s="5" t="s">
        <v>12</v>
      </c>
      <c r="H84" s="2" t="s">
        <v>53</v>
      </c>
    </row>
    <row r="85" spans="1:8" x14ac:dyDescent="0.25">
      <c r="A85" s="6" t="s">
        <v>52</v>
      </c>
      <c r="B85" s="7">
        <v>46274</v>
      </c>
      <c r="C85" s="6" t="s">
        <v>29</v>
      </c>
      <c r="D85" s="6" t="s">
        <v>30</v>
      </c>
      <c r="E85" s="6" t="s">
        <v>31</v>
      </c>
      <c r="F85" s="8">
        <v>100.5118</v>
      </c>
      <c r="G85" s="9" t="s">
        <v>12</v>
      </c>
      <c r="H85" s="6" t="s">
        <v>53</v>
      </c>
    </row>
    <row r="86" spans="1:8" x14ac:dyDescent="0.25">
      <c r="A86" s="2" t="s">
        <v>54</v>
      </c>
      <c r="B86" s="3">
        <v>46275</v>
      </c>
      <c r="C86" s="2" t="s">
        <v>9</v>
      </c>
      <c r="D86" s="2" t="s">
        <v>10</v>
      </c>
      <c r="E86" s="2" t="s">
        <v>11</v>
      </c>
      <c r="F86" s="4">
        <v>96.4762</v>
      </c>
      <c r="G86" s="5" t="s">
        <v>12</v>
      </c>
      <c r="H86" s="2" t="s">
        <v>55</v>
      </c>
    </row>
    <row r="87" spans="1:8" x14ac:dyDescent="0.25">
      <c r="A87" s="6" t="s">
        <v>54</v>
      </c>
      <c r="B87" s="7">
        <v>46275</v>
      </c>
      <c r="C87" s="6" t="s">
        <v>14</v>
      </c>
      <c r="D87" s="6" t="s">
        <v>15</v>
      </c>
      <c r="E87" s="6" t="s">
        <v>16</v>
      </c>
      <c r="F87" s="8">
        <v>91.161</v>
      </c>
      <c r="G87" s="9" t="s">
        <v>12</v>
      </c>
      <c r="H87" s="6" t="s">
        <v>55</v>
      </c>
    </row>
    <row r="88" spans="1:8" x14ac:dyDescent="0.25">
      <c r="A88" s="2" t="s">
        <v>54</v>
      </c>
      <c r="B88" s="3">
        <v>46275</v>
      </c>
      <c r="C88" s="2" t="s">
        <v>17</v>
      </c>
      <c r="D88" s="2" t="s">
        <v>18</v>
      </c>
      <c r="E88" s="2" t="s">
        <v>19</v>
      </c>
      <c r="F88" s="4">
        <v>100.8619</v>
      </c>
      <c r="G88" s="5" t="s">
        <v>12</v>
      </c>
      <c r="H88" s="2" t="s">
        <v>55</v>
      </c>
    </row>
    <row r="89" spans="1:8" x14ac:dyDescent="0.25">
      <c r="A89" s="6" t="s">
        <v>54</v>
      </c>
      <c r="B89" s="7">
        <v>46275</v>
      </c>
      <c r="C89" s="6" t="s">
        <v>20</v>
      </c>
      <c r="D89" s="6" t="s">
        <v>21</v>
      </c>
      <c r="E89" s="6" t="s">
        <v>22</v>
      </c>
      <c r="F89" s="8">
        <v>101.5168</v>
      </c>
      <c r="G89" s="9" t="s">
        <v>12</v>
      </c>
      <c r="H89" s="6" t="s">
        <v>55</v>
      </c>
    </row>
    <row r="90" spans="1:8" x14ac:dyDescent="0.25">
      <c r="A90" s="2" t="s">
        <v>54</v>
      </c>
      <c r="B90" s="3">
        <v>46275</v>
      </c>
      <c r="C90" s="2" t="s">
        <v>23</v>
      </c>
      <c r="D90" s="2" t="s">
        <v>24</v>
      </c>
      <c r="E90" s="2" t="s">
        <v>25</v>
      </c>
      <c r="F90" s="4">
        <v>101.6181</v>
      </c>
      <c r="G90" s="5" t="s">
        <v>12</v>
      </c>
      <c r="H90" s="2" t="s">
        <v>55</v>
      </c>
    </row>
    <row r="91" spans="1:8" x14ac:dyDescent="0.25">
      <c r="A91" s="6" t="s">
        <v>54</v>
      </c>
      <c r="B91" s="7">
        <v>46275</v>
      </c>
      <c r="C91" s="6" t="s">
        <v>26</v>
      </c>
      <c r="D91" s="6" t="s">
        <v>27</v>
      </c>
      <c r="E91" s="6" t="s">
        <v>28</v>
      </c>
      <c r="F91" s="8">
        <v>102.3717</v>
      </c>
      <c r="G91" s="9" t="s">
        <v>12</v>
      </c>
      <c r="H91" s="6" t="s">
        <v>55</v>
      </c>
    </row>
    <row r="92" spans="1:8" x14ac:dyDescent="0.25">
      <c r="A92" s="2" t="s">
        <v>54</v>
      </c>
      <c r="B92" s="3">
        <v>46275</v>
      </c>
      <c r="C92" s="2" t="s">
        <v>29</v>
      </c>
      <c r="D92" s="2" t="s">
        <v>30</v>
      </c>
      <c r="E92" s="2" t="s">
        <v>31</v>
      </c>
      <c r="F92" s="4">
        <v>100.5425</v>
      </c>
      <c r="G92" s="5" t="s">
        <v>12</v>
      </c>
      <c r="H92" s="2" t="s">
        <v>55</v>
      </c>
    </row>
    <row r="93" spans="1:8" x14ac:dyDescent="0.25">
      <c r="A93" s="6" t="s">
        <v>56</v>
      </c>
      <c r="B93" s="7">
        <v>46276</v>
      </c>
      <c r="C93" s="6" t="s">
        <v>9</v>
      </c>
      <c r="D93" s="6" t="s">
        <v>10</v>
      </c>
      <c r="E93" s="6" t="s">
        <v>11</v>
      </c>
      <c r="F93" s="8">
        <v>96.5128</v>
      </c>
      <c r="G93" s="9" t="s">
        <v>12</v>
      </c>
      <c r="H93" s="6" t="s">
        <v>57</v>
      </c>
    </row>
    <row r="94" spans="1:8" x14ac:dyDescent="0.25">
      <c r="A94" s="2" t="s">
        <v>56</v>
      </c>
      <c r="B94" s="3">
        <v>46276</v>
      </c>
      <c r="C94" s="2" t="s">
        <v>14</v>
      </c>
      <c r="D94" s="2" t="s">
        <v>15</v>
      </c>
      <c r="E94" s="2" t="s">
        <v>16</v>
      </c>
      <c r="F94" s="4">
        <v>91.3783</v>
      </c>
      <c r="G94" s="5" t="s">
        <v>12</v>
      </c>
      <c r="H94" s="2" t="s">
        <v>57</v>
      </c>
    </row>
    <row r="95" spans="1:8" x14ac:dyDescent="0.25">
      <c r="A95" s="6" t="s">
        <v>56</v>
      </c>
      <c r="B95" s="7">
        <v>46276</v>
      </c>
      <c r="C95" s="6" t="s">
        <v>17</v>
      </c>
      <c r="D95" s="6" t="s">
        <v>18</v>
      </c>
      <c r="E95" s="6" t="s">
        <v>19</v>
      </c>
      <c r="F95" s="8">
        <v>100.938</v>
      </c>
      <c r="G95" s="9" t="s">
        <v>12</v>
      </c>
      <c r="H95" s="6" t="s">
        <v>57</v>
      </c>
    </row>
    <row r="96" spans="1:8" x14ac:dyDescent="0.25">
      <c r="A96" s="2" t="s">
        <v>56</v>
      </c>
      <c r="B96" s="3">
        <v>46276</v>
      </c>
      <c r="C96" s="2" t="s">
        <v>20</v>
      </c>
      <c r="D96" s="2" t="s">
        <v>21</v>
      </c>
      <c r="E96" s="2" t="s">
        <v>22</v>
      </c>
      <c r="F96" s="4">
        <v>101.5422</v>
      </c>
      <c r="G96" s="5" t="s">
        <v>12</v>
      </c>
      <c r="H96" s="2" t="s">
        <v>57</v>
      </c>
    </row>
    <row r="97" spans="1:8" x14ac:dyDescent="0.25">
      <c r="A97" s="6" t="s">
        <v>56</v>
      </c>
      <c r="B97" s="7">
        <v>46276</v>
      </c>
      <c r="C97" s="6" t="s">
        <v>23</v>
      </c>
      <c r="D97" s="6" t="s">
        <v>24</v>
      </c>
      <c r="E97" s="6" t="s">
        <v>25</v>
      </c>
      <c r="F97" s="8">
        <v>101.6152</v>
      </c>
      <c r="G97" s="9" t="s">
        <v>12</v>
      </c>
      <c r="H97" s="6" t="s">
        <v>57</v>
      </c>
    </row>
    <row r="98" spans="1:8" x14ac:dyDescent="0.25">
      <c r="A98" s="2" t="s">
        <v>56</v>
      </c>
      <c r="B98" s="3">
        <v>46276</v>
      </c>
      <c r="C98" s="2" t="s">
        <v>26</v>
      </c>
      <c r="D98" s="2" t="s">
        <v>27</v>
      </c>
      <c r="E98" s="2" t="s">
        <v>28</v>
      </c>
      <c r="F98" s="4">
        <v>102.3597</v>
      </c>
      <c r="G98" s="5" t="s">
        <v>12</v>
      </c>
      <c r="H98" s="2" t="s">
        <v>57</v>
      </c>
    </row>
    <row r="99" spans="1:8" x14ac:dyDescent="0.25">
      <c r="A99" s="6" t="s">
        <v>56</v>
      </c>
      <c r="B99" s="7">
        <v>46276</v>
      </c>
      <c r="C99" s="6" t="s">
        <v>29</v>
      </c>
      <c r="D99" s="6" t="s">
        <v>30</v>
      </c>
      <c r="E99" s="6" t="s">
        <v>31</v>
      </c>
      <c r="F99" s="8">
        <v>100.6787</v>
      </c>
      <c r="G99" s="9" t="s">
        <v>12</v>
      </c>
      <c r="H99" s="6" t="s">
        <v>57</v>
      </c>
    </row>
    <row r="100" spans="1:8" x14ac:dyDescent="0.25">
      <c r="A100" s="2" t="s">
        <v>58</v>
      </c>
      <c r="B100" s="3">
        <v>46279</v>
      </c>
      <c r="C100" s="2" t="s">
        <v>9</v>
      </c>
      <c r="D100" s="2" t="s">
        <v>10</v>
      </c>
      <c r="E100" s="2" t="s">
        <v>11</v>
      </c>
      <c r="F100" s="4">
        <v>96.2389</v>
      </c>
      <c r="G100" s="5" t="s">
        <v>12</v>
      </c>
      <c r="H100" s="2" t="s">
        <v>59</v>
      </c>
    </row>
    <row r="101" spans="1:8" x14ac:dyDescent="0.25">
      <c r="A101" s="6" t="s">
        <v>58</v>
      </c>
      <c r="B101" s="7">
        <v>46279</v>
      </c>
      <c r="C101" s="6" t="s">
        <v>14</v>
      </c>
      <c r="D101" s="6" t="s">
        <v>15</v>
      </c>
      <c r="E101" s="6" t="s">
        <v>16</v>
      </c>
      <c r="F101" s="8">
        <v>90.6268</v>
      </c>
      <c r="G101" s="9" t="s">
        <v>12</v>
      </c>
      <c r="H101" s="6" t="s">
        <v>59</v>
      </c>
    </row>
    <row r="102" spans="1:8" x14ac:dyDescent="0.25">
      <c r="A102" s="2" t="s">
        <v>58</v>
      </c>
      <c r="B102" s="3">
        <v>46279</v>
      </c>
      <c r="C102" s="2" t="s">
        <v>17</v>
      </c>
      <c r="D102" s="2" t="s">
        <v>18</v>
      </c>
      <c r="E102" s="2" t="s">
        <v>19</v>
      </c>
      <c r="F102" s="4">
        <v>100.896</v>
      </c>
      <c r="G102" s="5" t="s">
        <v>12</v>
      </c>
      <c r="H102" s="2" t="s">
        <v>59</v>
      </c>
    </row>
    <row r="103" spans="1:8" x14ac:dyDescent="0.25">
      <c r="A103" s="6" t="s">
        <v>58</v>
      </c>
      <c r="B103" s="7">
        <v>46279</v>
      </c>
      <c r="C103" s="6" t="s">
        <v>20</v>
      </c>
      <c r="D103" s="6" t="s">
        <v>21</v>
      </c>
      <c r="E103" s="6" t="s">
        <v>22</v>
      </c>
      <c r="F103" s="8">
        <v>101.4972</v>
      </c>
      <c r="G103" s="9" t="s">
        <v>12</v>
      </c>
      <c r="H103" s="6" t="s">
        <v>59</v>
      </c>
    </row>
    <row r="104" spans="1:8" x14ac:dyDescent="0.25">
      <c r="A104" s="2" t="s">
        <v>58</v>
      </c>
      <c r="B104" s="3">
        <v>46279</v>
      </c>
      <c r="C104" s="2" t="s">
        <v>23</v>
      </c>
      <c r="D104" s="2" t="s">
        <v>24</v>
      </c>
      <c r="E104" s="2" t="s">
        <v>25</v>
      </c>
      <c r="F104" s="4">
        <v>101.5618</v>
      </c>
      <c r="G104" s="5" t="s">
        <v>12</v>
      </c>
      <c r="H104" s="2" t="s">
        <v>59</v>
      </c>
    </row>
    <row r="105" spans="1:8" x14ac:dyDescent="0.25">
      <c r="A105" s="6" t="s">
        <v>58</v>
      </c>
      <c r="B105" s="7">
        <v>46279</v>
      </c>
      <c r="C105" s="6" t="s">
        <v>26</v>
      </c>
      <c r="D105" s="6" t="s">
        <v>27</v>
      </c>
      <c r="E105" s="6" t="s">
        <v>28</v>
      </c>
      <c r="F105" s="8">
        <v>102.3131</v>
      </c>
      <c r="G105" s="9" t="s">
        <v>12</v>
      </c>
      <c r="H105" s="6" t="s">
        <v>59</v>
      </c>
    </row>
    <row r="106" spans="1:8" x14ac:dyDescent="0.25">
      <c r="A106" s="2" t="s">
        <v>58</v>
      </c>
      <c r="B106" s="3">
        <v>46279</v>
      </c>
      <c r="C106" s="2" t="s">
        <v>29</v>
      </c>
      <c r="D106" s="2" t="s">
        <v>30</v>
      </c>
      <c r="E106" s="2" t="s">
        <v>31</v>
      </c>
      <c r="F106" s="4">
        <v>100.6107</v>
      </c>
      <c r="G106" s="5" t="s">
        <v>12</v>
      </c>
      <c r="H106" s="2" t="s">
        <v>59</v>
      </c>
    </row>
    <row r="107" spans="1:8" x14ac:dyDescent="0.25">
      <c r="A107" s="6" t="s">
        <v>60</v>
      </c>
      <c r="B107" s="7">
        <v>46280</v>
      </c>
      <c r="C107" s="6" t="s">
        <v>9</v>
      </c>
      <c r="D107" s="6" t="s">
        <v>10</v>
      </c>
      <c r="E107" s="6" t="s">
        <v>11</v>
      </c>
      <c r="F107" s="8">
        <v>96.2116</v>
      </c>
      <c r="G107" s="9" t="s">
        <v>12</v>
      </c>
      <c r="H107" s="6" t="s">
        <v>61</v>
      </c>
    </row>
    <row r="108" spans="1:8" x14ac:dyDescent="0.25">
      <c r="A108" s="2" t="s">
        <v>60</v>
      </c>
      <c r="B108" s="3">
        <v>46280</v>
      </c>
      <c r="C108" s="2" t="s">
        <v>14</v>
      </c>
      <c r="D108" s="2" t="s">
        <v>15</v>
      </c>
      <c r="E108" s="2" t="s">
        <v>16</v>
      </c>
      <c r="F108" s="4">
        <v>90.5223</v>
      </c>
      <c r="G108" s="5" t="s">
        <v>12</v>
      </c>
      <c r="H108" s="2" t="s">
        <v>61</v>
      </c>
    </row>
    <row r="109" spans="1:8" x14ac:dyDescent="0.25">
      <c r="A109" s="6" t="s">
        <v>60</v>
      </c>
      <c r="B109" s="7">
        <v>46280</v>
      </c>
      <c r="C109" s="6" t="s">
        <v>17</v>
      </c>
      <c r="D109" s="6" t="s">
        <v>18</v>
      </c>
      <c r="E109" s="6" t="s">
        <v>19</v>
      </c>
      <c r="F109" s="8">
        <v>100.9423</v>
      </c>
      <c r="G109" s="9" t="s">
        <v>12</v>
      </c>
      <c r="H109" s="6" t="s">
        <v>61</v>
      </c>
    </row>
    <row r="110" spans="1:8" x14ac:dyDescent="0.25">
      <c r="A110" s="2" t="s">
        <v>60</v>
      </c>
      <c r="B110" s="3">
        <v>46280</v>
      </c>
      <c r="C110" s="2" t="s">
        <v>20</v>
      </c>
      <c r="D110" s="2" t="s">
        <v>21</v>
      </c>
      <c r="E110" s="2" t="s">
        <v>22</v>
      </c>
      <c r="F110" s="4">
        <v>101.4776</v>
      </c>
      <c r="G110" s="5" t="s">
        <v>12</v>
      </c>
      <c r="H110" s="2" t="s">
        <v>61</v>
      </c>
    </row>
    <row r="111" spans="1:8" x14ac:dyDescent="0.25">
      <c r="A111" s="6" t="s">
        <v>60</v>
      </c>
      <c r="B111" s="7">
        <v>46280</v>
      </c>
      <c r="C111" s="6" t="s">
        <v>23</v>
      </c>
      <c r="D111" s="6" t="s">
        <v>24</v>
      </c>
      <c r="E111" s="6" t="s">
        <v>25</v>
      </c>
      <c r="F111" s="8">
        <v>101.5553</v>
      </c>
      <c r="G111" s="9" t="s">
        <v>12</v>
      </c>
      <c r="H111" s="6" t="s">
        <v>61</v>
      </c>
    </row>
    <row r="112" spans="1:8" x14ac:dyDescent="0.25">
      <c r="A112" s="2" t="s">
        <v>60</v>
      </c>
      <c r="B112" s="3">
        <v>46280</v>
      </c>
      <c r="C112" s="2" t="s">
        <v>26</v>
      </c>
      <c r="D112" s="2" t="s">
        <v>27</v>
      </c>
      <c r="E112" s="2" t="s">
        <v>28</v>
      </c>
      <c r="F112" s="4">
        <v>102.311</v>
      </c>
      <c r="G112" s="5" t="s">
        <v>12</v>
      </c>
      <c r="H112" s="2" t="s">
        <v>61</v>
      </c>
    </row>
    <row r="113" spans="1:8" x14ac:dyDescent="0.25">
      <c r="A113" s="6" t="s">
        <v>60</v>
      </c>
      <c r="B113" s="7">
        <v>46280</v>
      </c>
      <c r="C113" s="6" t="s">
        <v>29</v>
      </c>
      <c r="D113" s="6" t="s">
        <v>30</v>
      </c>
      <c r="E113" s="6" t="s">
        <v>31</v>
      </c>
      <c r="F113" s="8">
        <v>100.6216</v>
      </c>
      <c r="G113" s="9" t="s">
        <v>12</v>
      </c>
      <c r="H113" s="6" t="s">
        <v>61</v>
      </c>
    </row>
    <row r="114" spans="1:8" x14ac:dyDescent="0.25">
      <c r="A114" s="2" t="s">
        <v>62</v>
      </c>
      <c r="B114" s="3">
        <v>46281</v>
      </c>
      <c r="C114" s="2" t="s">
        <v>9</v>
      </c>
      <c r="D114" s="2" t="s">
        <v>10</v>
      </c>
      <c r="E114" s="2" t="s">
        <v>11</v>
      </c>
      <c r="F114" s="4">
        <v>96.3286</v>
      </c>
      <c r="G114" s="5" t="s">
        <v>12</v>
      </c>
      <c r="H114" s="2" t="s">
        <v>63</v>
      </c>
    </row>
    <row r="115" spans="1:8" x14ac:dyDescent="0.25">
      <c r="A115" s="6" t="s">
        <v>62</v>
      </c>
      <c r="B115" s="7">
        <v>46281</v>
      </c>
      <c r="C115" s="6" t="s">
        <v>14</v>
      </c>
      <c r="D115" s="6" t="s">
        <v>15</v>
      </c>
      <c r="E115" s="6" t="s">
        <v>16</v>
      </c>
      <c r="F115" s="8">
        <v>90.857</v>
      </c>
      <c r="G115" s="9" t="s">
        <v>12</v>
      </c>
      <c r="H115" s="6" t="s">
        <v>63</v>
      </c>
    </row>
    <row r="116" spans="1:8" x14ac:dyDescent="0.25">
      <c r="A116" s="2" t="s">
        <v>62</v>
      </c>
      <c r="B116" s="3">
        <v>46281</v>
      </c>
      <c r="C116" s="2" t="s">
        <v>17</v>
      </c>
      <c r="D116" s="2" t="s">
        <v>18</v>
      </c>
      <c r="E116" s="2" t="s">
        <v>19</v>
      </c>
      <c r="F116" s="4">
        <v>100.9944</v>
      </c>
      <c r="G116" s="5" t="s">
        <v>12</v>
      </c>
      <c r="H116" s="2" t="s">
        <v>63</v>
      </c>
    </row>
    <row r="117" spans="1:8" x14ac:dyDescent="0.25">
      <c r="A117" s="6" t="s">
        <v>62</v>
      </c>
      <c r="B117" s="7">
        <v>46281</v>
      </c>
      <c r="C117" s="6" t="s">
        <v>20</v>
      </c>
      <c r="D117" s="6" t="s">
        <v>21</v>
      </c>
      <c r="E117" s="6" t="s">
        <v>22</v>
      </c>
      <c r="F117" s="8">
        <v>101.4881</v>
      </c>
      <c r="G117" s="9" t="s">
        <v>12</v>
      </c>
      <c r="H117" s="6" t="s">
        <v>63</v>
      </c>
    </row>
    <row r="118" spans="1:8" x14ac:dyDescent="0.25">
      <c r="A118" s="2" t="s">
        <v>62</v>
      </c>
      <c r="B118" s="3">
        <v>46281</v>
      </c>
      <c r="C118" s="2" t="s">
        <v>23</v>
      </c>
      <c r="D118" s="2" t="s">
        <v>24</v>
      </c>
      <c r="E118" s="2" t="s">
        <v>25</v>
      </c>
      <c r="F118" s="4">
        <v>101.5411</v>
      </c>
      <c r="G118" s="5" t="s">
        <v>12</v>
      </c>
      <c r="H118" s="2" t="s">
        <v>63</v>
      </c>
    </row>
    <row r="119" spans="1:8" x14ac:dyDescent="0.25">
      <c r="A119" s="6" t="s">
        <v>62</v>
      </c>
      <c r="B119" s="7">
        <v>46281</v>
      </c>
      <c r="C119" s="6" t="s">
        <v>26</v>
      </c>
      <c r="D119" s="6" t="s">
        <v>27</v>
      </c>
      <c r="E119" s="6" t="s">
        <v>28</v>
      </c>
      <c r="F119" s="8">
        <v>102.3361</v>
      </c>
      <c r="G119" s="9" t="s">
        <v>12</v>
      </c>
      <c r="H119" s="6" t="s">
        <v>63</v>
      </c>
    </row>
    <row r="120" spans="1:8" x14ac:dyDescent="0.25">
      <c r="A120" s="2" t="s">
        <v>62</v>
      </c>
      <c r="B120" s="3">
        <v>46281</v>
      </c>
      <c r="C120" s="2" t="s">
        <v>29</v>
      </c>
      <c r="D120" s="2" t="s">
        <v>30</v>
      </c>
      <c r="E120" s="2" t="s">
        <v>31</v>
      </c>
      <c r="F120" s="4">
        <v>100.6901</v>
      </c>
      <c r="G120" s="5" t="s">
        <v>12</v>
      </c>
      <c r="H120" s="2" t="s">
        <v>63</v>
      </c>
    </row>
    <row r="121" spans="1:8" x14ac:dyDescent="0.25">
      <c r="A121" s="6" t="s">
        <v>64</v>
      </c>
      <c r="B121" s="7">
        <v>46282</v>
      </c>
      <c r="C121" s="6" t="s">
        <v>9</v>
      </c>
      <c r="D121" s="6" t="s">
        <v>10</v>
      </c>
      <c r="E121" s="6" t="s">
        <v>11</v>
      </c>
      <c r="F121" s="8">
        <v>96.4361</v>
      </c>
      <c r="G121" s="9" t="s">
        <v>12</v>
      </c>
      <c r="H121" s="6" t="s">
        <v>65</v>
      </c>
    </row>
    <row r="122" spans="1:8" x14ac:dyDescent="0.25">
      <c r="A122" s="2" t="s">
        <v>64</v>
      </c>
      <c r="B122" s="3">
        <v>46282</v>
      </c>
      <c r="C122" s="2" t="s">
        <v>14</v>
      </c>
      <c r="D122" s="2" t="s">
        <v>15</v>
      </c>
      <c r="E122" s="2" t="s">
        <v>16</v>
      </c>
      <c r="F122" s="4">
        <v>90.2084</v>
      </c>
      <c r="G122" s="5" t="s">
        <v>12</v>
      </c>
      <c r="H122" s="2" t="s">
        <v>65</v>
      </c>
    </row>
    <row r="123" spans="1:8" x14ac:dyDescent="0.25">
      <c r="A123" s="6" t="s">
        <v>64</v>
      </c>
      <c r="B123" s="7">
        <v>46282</v>
      </c>
      <c r="C123" s="6" t="s">
        <v>17</v>
      </c>
      <c r="D123" s="6" t="s">
        <v>18</v>
      </c>
      <c r="E123" s="6" t="s">
        <v>19</v>
      </c>
      <c r="F123" s="8">
        <v>101.0884</v>
      </c>
      <c r="G123" s="9" t="s">
        <v>12</v>
      </c>
      <c r="H123" s="6" t="s">
        <v>65</v>
      </c>
    </row>
    <row r="124" spans="1:8" x14ac:dyDescent="0.25">
      <c r="A124" s="2" t="s">
        <v>64</v>
      </c>
      <c r="B124" s="3">
        <v>46282</v>
      </c>
      <c r="C124" s="2" t="s">
        <v>20</v>
      </c>
      <c r="D124" s="2" t="s">
        <v>21</v>
      </c>
      <c r="E124" s="2" t="s">
        <v>22</v>
      </c>
      <c r="F124" s="4">
        <v>101.5177</v>
      </c>
      <c r="G124" s="5" t="s">
        <v>12</v>
      </c>
      <c r="H124" s="2" t="s">
        <v>65</v>
      </c>
    </row>
    <row r="125" spans="1:8" x14ac:dyDescent="0.25">
      <c r="A125" s="6" t="s">
        <v>64</v>
      </c>
      <c r="B125" s="7">
        <v>46282</v>
      </c>
      <c r="C125" s="6" t="s">
        <v>23</v>
      </c>
      <c r="D125" s="6" t="s">
        <v>24</v>
      </c>
      <c r="E125" s="6" t="s">
        <v>25</v>
      </c>
      <c r="F125" s="8">
        <v>101.5562</v>
      </c>
      <c r="G125" s="9" t="s">
        <v>12</v>
      </c>
      <c r="H125" s="6" t="s">
        <v>65</v>
      </c>
    </row>
    <row r="126" spans="1:8" x14ac:dyDescent="0.25">
      <c r="A126" s="2" t="s">
        <v>64</v>
      </c>
      <c r="B126" s="3">
        <v>46282</v>
      </c>
      <c r="C126" s="2" t="s">
        <v>26</v>
      </c>
      <c r="D126" s="2" t="s">
        <v>27</v>
      </c>
      <c r="E126" s="2" t="s">
        <v>28</v>
      </c>
      <c r="F126" s="4">
        <v>102.3635</v>
      </c>
      <c r="G126" s="5" t="s">
        <v>12</v>
      </c>
      <c r="H126" s="2" t="s">
        <v>65</v>
      </c>
    </row>
    <row r="127" spans="1:8" x14ac:dyDescent="0.25">
      <c r="A127" s="6" t="s">
        <v>64</v>
      </c>
      <c r="B127" s="7">
        <v>46282</v>
      </c>
      <c r="C127" s="6" t="s">
        <v>29</v>
      </c>
      <c r="D127" s="6" t="s">
        <v>30</v>
      </c>
      <c r="E127" s="6" t="s">
        <v>31</v>
      </c>
      <c r="F127" s="8">
        <v>100.7494</v>
      </c>
      <c r="G127" s="9" t="s">
        <v>12</v>
      </c>
      <c r="H127" s="6" t="s">
        <v>65</v>
      </c>
    </row>
    <row r="128" spans="1:8" x14ac:dyDescent="0.25">
      <c r="A128" s="2" t="s">
        <v>66</v>
      </c>
      <c r="B128" s="3">
        <v>46283</v>
      </c>
      <c r="C128" s="2" t="s">
        <v>9</v>
      </c>
      <c r="D128" s="2" t="s">
        <v>10</v>
      </c>
      <c r="E128" s="2" t="s">
        <v>11</v>
      </c>
      <c r="F128" s="4">
        <v>96.3048</v>
      </c>
      <c r="G128" s="5" t="s">
        <v>12</v>
      </c>
      <c r="H128" s="2" t="s">
        <v>67</v>
      </c>
    </row>
    <row r="129" spans="1:8" x14ac:dyDescent="0.25">
      <c r="A129" s="6" t="s">
        <v>66</v>
      </c>
      <c r="B129" s="7">
        <v>46283</v>
      </c>
      <c r="C129" s="6" t="s">
        <v>14</v>
      </c>
      <c r="D129" s="6" t="s">
        <v>15</v>
      </c>
      <c r="E129" s="6" t="s">
        <v>16</v>
      </c>
      <c r="F129" s="8">
        <v>89.832</v>
      </c>
      <c r="G129" s="9" t="s">
        <v>12</v>
      </c>
      <c r="H129" s="6" t="s">
        <v>67</v>
      </c>
    </row>
    <row r="130" spans="1:8" x14ac:dyDescent="0.25">
      <c r="A130" s="2" t="s">
        <v>66</v>
      </c>
      <c r="B130" s="3">
        <v>46283</v>
      </c>
      <c r="C130" s="2" t="s">
        <v>17</v>
      </c>
      <c r="D130" s="2" t="s">
        <v>18</v>
      </c>
      <c r="E130" s="2" t="s">
        <v>19</v>
      </c>
      <c r="F130" s="4">
        <v>101.0102</v>
      </c>
      <c r="G130" s="5" t="s">
        <v>12</v>
      </c>
      <c r="H130" s="2" t="s">
        <v>67</v>
      </c>
    </row>
    <row r="131" spans="1:8" x14ac:dyDescent="0.25">
      <c r="A131" s="6" t="s">
        <v>66</v>
      </c>
      <c r="B131" s="7">
        <v>46283</v>
      </c>
      <c r="C131" s="6" t="s">
        <v>20</v>
      </c>
      <c r="D131" s="6" t="s">
        <v>21</v>
      </c>
      <c r="E131" s="6" t="s">
        <v>22</v>
      </c>
      <c r="F131" s="8">
        <v>101.4622</v>
      </c>
      <c r="G131" s="9" t="s">
        <v>12</v>
      </c>
      <c r="H131" s="6" t="s">
        <v>67</v>
      </c>
    </row>
    <row r="132" spans="1:8" x14ac:dyDescent="0.25">
      <c r="A132" s="2" t="s">
        <v>66</v>
      </c>
      <c r="B132" s="3">
        <v>46283</v>
      </c>
      <c r="C132" s="2" t="s">
        <v>23</v>
      </c>
      <c r="D132" s="2" t="s">
        <v>24</v>
      </c>
      <c r="E132" s="2" t="s">
        <v>25</v>
      </c>
      <c r="F132" s="4">
        <v>101.5233</v>
      </c>
      <c r="G132" s="5" t="s">
        <v>12</v>
      </c>
      <c r="H132" s="2" t="s">
        <v>67</v>
      </c>
    </row>
    <row r="133" spans="1:8" x14ac:dyDescent="0.25">
      <c r="A133" s="6" t="s">
        <v>66</v>
      </c>
      <c r="B133" s="7">
        <v>46283</v>
      </c>
      <c r="C133" s="6" t="s">
        <v>26</v>
      </c>
      <c r="D133" s="6" t="s">
        <v>27</v>
      </c>
      <c r="E133" s="6" t="s">
        <v>28</v>
      </c>
      <c r="F133" s="8">
        <v>102.3357</v>
      </c>
      <c r="G133" s="9" t="s">
        <v>12</v>
      </c>
      <c r="H133" s="6" t="s">
        <v>67</v>
      </c>
    </row>
    <row r="134" spans="1:8" x14ac:dyDescent="0.25">
      <c r="A134" s="2" t="s">
        <v>66</v>
      </c>
      <c r="B134" s="3">
        <v>46283</v>
      </c>
      <c r="C134" s="2" t="s">
        <v>29</v>
      </c>
      <c r="D134" s="2" t="s">
        <v>30</v>
      </c>
      <c r="E134" s="2" t="s">
        <v>31</v>
      </c>
      <c r="F134" s="4">
        <v>100.6302</v>
      </c>
      <c r="G134" s="5" t="s">
        <v>12</v>
      </c>
      <c r="H134" s="2" t="s">
        <v>67</v>
      </c>
    </row>
  </sheetData>
  <autoFilter ref="A1:H1"/>
  <hyperlinks>
    <hyperlink ref="G2" r:id="rId1" tooltip="https://www.ice.com/cds-settlement-prices/icc/single-name-instruments"/>
    <hyperlink ref="G3" r:id="rId2" tooltip="https://www.ice.com/cds-settlement-prices/icc/single-name-instruments"/>
    <hyperlink ref="G4" r:id="rId3" tooltip="https://www.ice.com/cds-settlement-prices/icc/single-name-instruments"/>
    <hyperlink ref="G5" r:id="rId4" tooltip="https://www.ice.com/cds-settlement-prices/icc/single-name-instruments"/>
    <hyperlink ref="G6" r:id="rId5" tooltip="https://www.ice.com/cds-settlement-prices/icc/single-name-instruments"/>
    <hyperlink ref="G7" r:id="rId6" tooltip="https://www.ice.com/cds-settlement-prices/icc/single-name-instruments"/>
    <hyperlink ref="G8" r:id="rId7" tooltip="https://www.ice.com/cds-settlement-prices/icc/single-name-instruments"/>
    <hyperlink ref="G9" r:id="rId8" tooltip="https://www.ice.com/cds-settlement-prices/icc/single-name-instruments"/>
    <hyperlink ref="G10" r:id="rId9" tooltip="https://www.ice.com/cds-settlement-prices/icc/single-name-instruments"/>
    <hyperlink ref="G11" r:id="rId10" tooltip="https://www.ice.com/cds-settlement-prices/icc/single-name-instruments"/>
    <hyperlink ref="G12" r:id="rId11" tooltip="https://www.ice.com/cds-settlement-prices/icc/single-name-instruments"/>
    <hyperlink ref="G13" r:id="rId12" tooltip="https://www.ice.com/cds-settlement-prices/icc/single-name-instruments"/>
    <hyperlink ref="G14" r:id="rId13" tooltip="https://www.ice.com/cds-settlement-prices/icc/single-name-instruments"/>
    <hyperlink ref="G15" r:id="rId14" tooltip="https://www.ice.com/cds-settlement-prices/icc/single-name-instruments"/>
    <hyperlink ref="G16" r:id="rId15" tooltip="https://www.ice.com/cds-settlement-prices/icc/single-name-instruments"/>
    <hyperlink ref="G17" r:id="rId16" tooltip="https://www.ice.com/cds-settlement-prices/icc/single-name-instruments"/>
    <hyperlink ref="G18" r:id="rId17" tooltip="https://www.ice.com/cds-settlement-prices/icc/single-name-instruments"/>
    <hyperlink ref="G19" r:id="rId18" tooltip="https://www.ice.com/cds-settlement-prices/icc/single-name-instruments"/>
    <hyperlink ref="G20" r:id="rId19" tooltip="https://www.ice.com/cds-settlement-prices/icc/single-name-instruments"/>
    <hyperlink ref="G21" r:id="rId20" tooltip="https://www.ice.com/cds-settlement-prices/icc/single-name-instruments"/>
    <hyperlink ref="G22" r:id="rId21" tooltip="https://www.ice.com/cds-settlement-prices/icc/single-name-instruments"/>
    <hyperlink ref="G23" r:id="rId22" tooltip="https://www.ice.com/cds-settlement-prices/icc/single-name-instruments"/>
    <hyperlink ref="G24" r:id="rId23" tooltip="https://www.ice.com/cds-settlement-prices/icc/single-name-instruments"/>
    <hyperlink ref="G25" r:id="rId24" tooltip="https://www.ice.com/cds-settlement-prices/icc/single-name-instruments"/>
    <hyperlink ref="G26" r:id="rId25" tooltip="https://www.ice.com/cds-settlement-prices/icc/single-name-instruments"/>
    <hyperlink ref="G27" r:id="rId26" tooltip="https://www.ice.com/cds-settlement-prices/icc/single-name-instruments"/>
    <hyperlink ref="G28" r:id="rId27" tooltip="https://www.ice.com/cds-settlement-prices/icc/single-name-instruments"/>
    <hyperlink ref="G29" r:id="rId28" tooltip="https://www.ice.com/cds-settlement-prices/icc/single-name-instruments"/>
    <hyperlink ref="G30" r:id="rId29" tooltip="https://www.ice.com/cds-settlement-prices/icc/single-name-instruments"/>
    <hyperlink ref="G31" r:id="rId30" tooltip="https://www.ice.com/cds-settlement-prices/icc/single-name-instruments"/>
    <hyperlink ref="G32" r:id="rId31" tooltip="https://www.ice.com/cds-settlement-prices/icc/single-name-instruments"/>
    <hyperlink ref="G33" r:id="rId32" tooltip="https://www.ice.com/cds-settlement-prices/icc/single-name-instruments"/>
    <hyperlink ref="G34" r:id="rId33" tooltip="https://www.ice.com/cds-settlement-prices/icc/single-name-instruments"/>
    <hyperlink ref="G35" r:id="rId34" tooltip="https://www.ice.com/cds-settlement-prices/icc/single-name-instruments"/>
    <hyperlink ref="G36" r:id="rId35" tooltip="https://www.ice.com/cds-settlement-prices/icc/single-name-instruments"/>
    <hyperlink ref="G37" r:id="rId36" tooltip="https://www.ice.com/cds-settlement-prices/icc/single-name-instruments"/>
    <hyperlink ref="G38" r:id="rId37" tooltip="https://www.ice.com/cds-settlement-prices/icc/single-name-instruments"/>
    <hyperlink ref="G39" r:id="rId38" tooltip="https://www.ice.com/cds-settlement-prices/icc/single-name-instruments"/>
    <hyperlink ref="G40" r:id="rId39" tooltip="https://www.ice.com/cds-settlement-prices/icc/single-name-instruments"/>
    <hyperlink ref="G41" r:id="rId40" tooltip="https://www.ice.com/cds-settlement-prices/icc/single-name-instruments"/>
    <hyperlink ref="G42" r:id="rId41" tooltip="https://www.ice.com/cds-settlement-prices/icc/single-name-instruments"/>
    <hyperlink ref="G43" r:id="rId42" tooltip="https://www.ice.com/cds-settlement-prices/icc/single-name-instruments"/>
    <hyperlink ref="G44" r:id="rId43" tooltip="https://www.ice.com/cds-settlement-prices/icc/single-name-instruments"/>
    <hyperlink ref="G45" r:id="rId44" tooltip="https://www.ice.com/cds-settlement-prices/icc/single-name-instruments"/>
    <hyperlink ref="G46" r:id="rId45" tooltip="https://www.ice.com/cds-settlement-prices/icc/single-name-instruments"/>
    <hyperlink ref="G47" r:id="rId46" tooltip="https://www.ice.com/cds-settlement-prices/icc/single-name-instruments"/>
    <hyperlink ref="G48" r:id="rId47" tooltip="https://www.ice.com/cds-settlement-prices/icc/single-name-instruments"/>
    <hyperlink ref="G49" r:id="rId48" tooltip="https://www.ice.com/cds-settlement-prices/icc/single-name-instruments"/>
    <hyperlink ref="G50" r:id="rId49" tooltip="https://www.ice.com/cds-settlement-prices/icc/single-name-instruments"/>
    <hyperlink ref="G51" r:id="rId50" tooltip="https://www.ice.com/cds-settlement-prices/icc/single-name-instruments"/>
    <hyperlink ref="G52" r:id="rId51" tooltip="https://www.ice.com/cds-settlement-prices/icc/single-name-instruments"/>
    <hyperlink ref="G53" r:id="rId52" tooltip="https://www.ice.com/cds-settlement-prices/icc/single-name-instruments"/>
    <hyperlink ref="G54" r:id="rId53" tooltip="https://www.ice.com/cds-settlement-prices/icc/single-name-instruments"/>
    <hyperlink ref="G55" r:id="rId54" tooltip="https://www.ice.com/cds-settlement-prices/icc/single-name-instruments"/>
    <hyperlink ref="G56" r:id="rId55" tooltip="https://www.ice.com/cds-settlement-prices/icc/single-name-instruments"/>
    <hyperlink ref="G57" r:id="rId56" tooltip="https://www.ice.com/cds-settlement-prices/icc/single-name-instruments"/>
    <hyperlink ref="G58" r:id="rId57" tooltip="https://www.ice.com/cds-settlement-prices/icc/single-name-instruments"/>
    <hyperlink ref="G59" r:id="rId58" tooltip="https://www.ice.com/cds-settlement-prices/icc/single-name-instruments"/>
    <hyperlink ref="G60" r:id="rId59" tooltip="https://www.ice.com/cds-settlement-prices/icc/single-name-instruments"/>
    <hyperlink ref="G61" r:id="rId60" tooltip="https://www.ice.com/cds-settlement-prices/icc/single-name-instruments"/>
    <hyperlink ref="G62" r:id="rId61" tooltip="https://www.ice.com/cds-settlement-prices/icc/single-name-instruments"/>
    <hyperlink ref="G63" r:id="rId62" tooltip="https://www.ice.com/cds-settlement-prices/icc/single-name-instruments"/>
    <hyperlink ref="G64" r:id="rId63" tooltip="https://www.ice.com/cds-settlement-prices/icc/single-name-instruments"/>
    <hyperlink ref="G65" r:id="rId64" tooltip="https://www.ice.com/cds-settlement-prices/icc/single-name-instruments"/>
    <hyperlink ref="G66" r:id="rId65" tooltip="https://www.ice.com/cds-settlement-prices/icc/single-name-instruments"/>
    <hyperlink ref="G67" r:id="rId66" tooltip="https://www.ice.com/cds-settlement-prices/icc/single-name-instruments"/>
    <hyperlink ref="G68" r:id="rId67" tooltip="https://www.ice.com/cds-settlement-prices/icc/single-name-instruments"/>
    <hyperlink ref="G69" r:id="rId68" tooltip="https://www.ice.com/cds-settlement-prices/icc/single-name-instruments"/>
    <hyperlink ref="G70" r:id="rId69" tooltip="https://www.ice.com/cds-settlement-prices/icc/single-name-instruments"/>
    <hyperlink ref="G71" r:id="rId70" tooltip="https://www.ice.com/cds-settlement-prices/icc/single-name-instruments"/>
    <hyperlink ref="G72" r:id="rId71" tooltip="https://www.ice.com/cds-settlement-prices/icc/single-name-instruments"/>
    <hyperlink ref="G73" r:id="rId72" tooltip="https://www.ice.com/cds-settlement-prices/icc/single-name-instruments"/>
    <hyperlink ref="G74" r:id="rId73" tooltip="https://www.ice.com/cds-settlement-prices/icc/single-name-instruments"/>
    <hyperlink ref="G75" r:id="rId74" tooltip="https://www.ice.com/cds-settlement-prices/icc/single-name-instruments"/>
    <hyperlink ref="G76" r:id="rId75" tooltip="https://www.ice.com/cds-settlement-prices/icc/single-name-instruments"/>
    <hyperlink ref="G77" r:id="rId76" tooltip="https://www.ice.com/cds-settlement-prices/icc/single-name-instruments"/>
    <hyperlink ref="G78" r:id="rId77" tooltip="https://www.ice.com/cds-settlement-prices/icc/single-name-instruments"/>
    <hyperlink ref="G79" r:id="rId78" tooltip="https://www.ice.com/cds-settlement-prices/icc/single-name-instruments"/>
    <hyperlink ref="G80" r:id="rId79" tooltip="https://www.ice.com/cds-settlement-prices/icc/single-name-instruments"/>
    <hyperlink ref="G81" r:id="rId80" tooltip="https://www.ice.com/cds-settlement-prices/icc/single-name-instruments"/>
    <hyperlink ref="G82" r:id="rId81" tooltip="https://www.ice.com/cds-settlement-prices/icc/single-name-instruments"/>
    <hyperlink ref="G83" r:id="rId82" tooltip="https://www.ice.com/cds-settlement-prices/icc/single-name-instruments"/>
    <hyperlink ref="G84" r:id="rId83" tooltip="https://www.ice.com/cds-settlement-prices/icc/single-name-instruments"/>
    <hyperlink ref="G85" r:id="rId84" tooltip="https://www.ice.com/cds-settlement-prices/icc/single-name-instruments"/>
    <hyperlink ref="G86" r:id="rId85" tooltip="https://www.ice.com/cds-settlement-prices/icc/single-name-instruments"/>
    <hyperlink ref="G87" r:id="rId86" tooltip="https://www.ice.com/cds-settlement-prices/icc/single-name-instruments"/>
    <hyperlink ref="G88" r:id="rId87" tooltip="https://www.ice.com/cds-settlement-prices/icc/single-name-instruments"/>
    <hyperlink ref="G89" r:id="rId88" tooltip="https://www.ice.com/cds-settlement-prices/icc/single-name-instruments"/>
    <hyperlink ref="G90" r:id="rId89" tooltip="https://www.ice.com/cds-settlement-prices/icc/single-name-instruments"/>
    <hyperlink ref="G91" r:id="rId90" tooltip="https://www.ice.com/cds-settlement-prices/icc/single-name-instruments"/>
    <hyperlink ref="G92" r:id="rId91" tooltip="https://www.ice.com/cds-settlement-prices/icc/single-name-instruments"/>
    <hyperlink ref="G93" r:id="rId92" tooltip="https://www.ice.com/cds-settlement-prices/icc/single-name-instruments"/>
    <hyperlink ref="G94" r:id="rId93" tooltip="https://www.ice.com/cds-settlement-prices/icc/single-name-instruments"/>
    <hyperlink ref="G95" r:id="rId94" tooltip="https://www.ice.com/cds-settlement-prices/icc/single-name-instruments"/>
    <hyperlink ref="G96" r:id="rId95" tooltip="https://www.ice.com/cds-settlement-prices/icc/single-name-instruments"/>
    <hyperlink ref="G97" r:id="rId96" tooltip="https://www.ice.com/cds-settlement-prices/icc/single-name-instruments"/>
    <hyperlink ref="G98" r:id="rId97" tooltip="https://www.ice.com/cds-settlement-prices/icc/single-name-instruments"/>
    <hyperlink ref="G99" r:id="rId98" tooltip="https://www.ice.com/cds-settlement-prices/icc/single-name-instruments"/>
    <hyperlink ref="G100" r:id="rId99" tooltip="https://www.ice.com/cds-settlement-prices/icc/single-name-instruments"/>
    <hyperlink ref="G101" r:id="rId100" tooltip="https://www.ice.com/cds-settlement-prices/icc/single-name-instruments"/>
    <hyperlink ref="G102" r:id="rId101" tooltip="https://www.ice.com/cds-settlement-prices/icc/single-name-instruments"/>
    <hyperlink ref="G103" r:id="rId102" tooltip="https://www.ice.com/cds-settlement-prices/icc/single-name-instruments"/>
    <hyperlink ref="G104" r:id="rId103" tooltip="https://www.ice.com/cds-settlement-prices/icc/single-name-instruments"/>
    <hyperlink ref="G105" r:id="rId104" tooltip="https://www.ice.com/cds-settlement-prices/icc/single-name-instruments"/>
    <hyperlink ref="G106" r:id="rId105" tooltip="https://www.ice.com/cds-settlement-prices/icc/single-name-instruments"/>
    <hyperlink ref="G107" r:id="rId106" tooltip="https://www.ice.com/cds-settlement-prices/icc/single-name-instruments"/>
    <hyperlink ref="G108" r:id="rId107" tooltip="https://www.ice.com/cds-settlement-prices/icc/single-name-instruments"/>
    <hyperlink ref="G109" r:id="rId108" tooltip="https://www.ice.com/cds-settlement-prices/icc/single-name-instruments"/>
    <hyperlink ref="G110" r:id="rId109" tooltip="https://www.ice.com/cds-settlement-prices/icc/single-name-instruments"/>
    <hyperlink ref="G111" r:id="rId110" tooltip="https://www.ice.com/cds-settlement-prices/icc/single-name-instruments"/>
    <hyperlink ref="G112" r:id="rId111" tooltip="https://www.ice.com/cds-settlement-prices/icc/single-name-instruments"/>
    <hyperlink ref="G113" r:id="rId112" tooltip="https://www.ice.com/cds-settlement-prices/icc/single-name-instruments"/>
    <hyperlink ref="G114" r:id="rId113" tooltip="https://www.ice.com/cds-settlement-prices/icc/single-name-instruments"/>
    <hyperlink ref="G115" r:id="rId114" tooltip="https://www.ice.com/cds-settlement-prices/icc/single-name-instruments"/>
    <hyperlink ref="G116" r:id="rId115" tooltip="https://www.ice.com/cds-settlement-prices/icc/single-name-instruments"/>
    <hyperlink ref="G117" r:id="rId116" tooltip="https://www.ice.com/cds-settlement-prices/icc/single-name-instruments"/>
    <hyperlink ref="G118" r:id="rId117" tooltip="https://www.ice.com/cds-settlement-prices/icc/single-name-instruments"/>
    <hyperlink ref="G119" r:id="rId118" tooltip="https://www.ice.com/cds-settlement-prices/icc/single-name-instruments"/>
    <hyperlink ref="G120" r:id="rId119" tooltip="https://www.ice.com/cds-settlement-prices/icc/single-name-instruments"/>
    <hyperlink ref="G121" r:id="rId120" tooltip="https://www.ice.com/cds-settlement-prices/icc/single-name-instruments"/>
    <hyperlink ref="G122" r:id="rId121" tooltip="https://www.ice.com/cds-settlement-prices/icc/single-name-instruments"/>
    <hyperlink ref="G123" r:id="rId122" tooltip="https://www.ice.com/cds-settlement-prices/icc/single-name-instruments"/>
    <hyperlink ref="G124" r:id="rId123" tooltip="https://www.ice.com/cds-settlement-prices/icc/single-name-instruments"/>
    <hyperlink ref="G125" r:id="rId124" tooltip="https://www.ice.com/cds-settlement-prices/icc/single-name-instruments"/>
    <hyperlink ref="G126" r:id="rId125" tooltip="https://www.ice.com/cds-settlement-prices/icc/single-name-instruments"/>
    <hyperlink ref="G127" r:id="rId126" tooltip="https://www.ice.com/cds-settlement-prices/icc/single-name-instruments"/>
    <hyperlink ref="G128" r:id="rId127" tooltip="https://www.ice.com/cds-settlement-prices/icc/single-name-instruments"/>
    <hyperlink ref="G129" r:id="rId128" tooltip="https://www.ice.com/cds-settlement-prices/icc/single-name-instruments"/>
    <hyperlink ref="G130" r:id="rId129" tooltip="https://www.ice.com/cds-settlement-prices/icc/single-name-instruments"/>
    <hyperlink ref="G131" r:id="rId130" tooltip="https://www.ice.com/cds-settlement-prices/icc/single-name-instruments"/>
    <hyperlink ref="G132" r:id="rId131" tooltip="https://www.ice.com/cds-settlement-prices/icc/single-name-instruments"/>
    <hyperlink ref="G133" r:id="rId132" tooltip="https://www.ice.com/cds-settlement-prices/icc/single-name-instruments"/>
    <hyperlink ref="G134" r:id="rId133" tooltip="https://www.ice.com/cds-settlement-prices/icc/single-name-instruments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97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18" outlineLevelRow="0" outlineLevelCol="0" x14ac:dyDescent="55" customHeight="1"/>
  <cols>
    <col min="1" max="1" width="24" customWidth="1"/>
    <col min="2" max="2" width="14" customWidth="1"/>
    <col min="3" max="3" width="16" customWidth="1"/>
    <col min="4" max="4" width="42" customWidth="1"/>
    <col min="5" max="6" width="13" customWidth="1"/>
    <col min="7" max="8" width="14" customWidth="1"/>
    <col min="9" max="9" width="17" customWidth="1"/>
    <col min="10" max="10" width="15" customWidth="1"/>
    <col min="11" max="11" width="14" customWidth="1"/>
    <col min="12" max="12" width="30" customWidth="1"/>
    <col min="13" max="13" width="14" customWidth="1"/>
    <col min="14" max="14" width="26" customWidth="1"/>
    <col min="15" max="15" width="18" customWidth="1"/>
    <col min="16" max="16" width="20" customWidth="1"/>
    <col min="17" max="17" width="16" customWidth="1"/>
    <col min="18" max="18" width="18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6</v>
      </c>
    </row>
    <row r="2" spans="1:18" x14ac:dyDescent="0.25">
      <c r="A2" s="2" t="s">
        <v>80</v>
      </c>
      <c r="B2" s="3">
        <v>46183</v>
      </c>
      <c r="C2" s="2" t="s">
        <v>9</v>
      </c>
      <c r="D2" s="2" t="s">
        <v>81</v>
      </c>
      <c r="E2" s="4"/>
      <c r="F2" s="10">
        <v>100</v>
      </c>
      <c r="G2" s="10">
        <v>160</v>
      </c>
      <c r="H2" s="3">
        <v>48019</v>
      </c>
      <c r="I2" s="4"/>
      <c r="J2" s="11"/>
      <c r="K2" s="11"/>
      <c r="L2" s="2" t="s">
        <v>82</v>
      </c>
      <c r="M2" s="12">
        <v>0.4</v>
      </c>
      <c r="N2" s="2" t="s">
        <v>83</v>
      </c>
      <c r="O2" s="13" t="s">
        <v>84</v>
      </c>
      <c r="P2" s="10"/>
      <c r="Q2" s="12"/>
      <c r="R2" s="5"/>
    </row>
    <row r="3" spans="1:18" x14ac:dyDescent="0.25">
      <c r="A3" s="6" t="s">
        <v>80</v>
      </c>
      <c r="B3" s="7">
        <v>46183</v>
      </c>
      <c r="C3" s="6" t="s">
        <v>14</v>
      </c>
      <c r="D3" s="6" t="s">
        <v>85</v>
      </c>
      <c r="E3" s="8"/>
      <c r="F3" s="14">
        <v>500</v>
      </c>
      <c r="G3" s="14">
        <v>510</v>
      </c>
      <c r="H3" s="7">
        <v>48019</v>
      </c>
      <c r="I3" s="8"/>
      <c r="J3" s="15"/>
      <c r="K3" s="15"/>
      <c r="L3" s="6" t="s">
        <v>82</v>
      </c>
      <c r="M3" s="16">
        <v>0.4</v>
      </c>
      <c r="N3" s="6" t="s">
        <v>83</v>
      </c>
      <c r="O3" s="13" t="s">
        <v>84</v>
      </c>
      <c r="P3" s="14"/>
      <c r="Q3" s="16"/>
      <c r="R3" s="9"/>
    </row>
    <row r="4" spans="1:18" x14ac:dyDescent="0.25">
      <c r="A4" s="2" t="s">
        <v>80</v>
      </c>
      <c r="B4" s="3">
        <v>46183</v>
      </c>
      <c r="C4" s="2" t="s">
        <v>20</v>
      </c>
      <c r="D4" s="2" t="s">
        <v>86</v>
      </c>
      <c r="E4" s="4"/>
      <c r="F4" s="10">
        <v>100</v>
      </c>
      <c r="G4" s="10">
        <v>51</v>
      </c>
      <c r="H4" s="3">
        <v>48019</v>
      </c>
      <c r="I4" s="4"/>
      <c r="J4" s="11"/>
      <c r="K4" s="11"/>
      <c r="L4" s="2" t="s">
        <v>82</v>
      </c>
      <c r="M4" s="12">
        <v>0.4</v>
      </c>
      <c r="N4" s="2" t="s">
        <v>83</v>
      </c>
      <c r="O4" s="13" t="s">
        <v>84</v>
      </c>
      <c r="P4" s="10"/>
      <c r="Q4" s="12"/>
      <c r="R4" s="5"/>
    </row>
    <row r="5" spans="1:18" x14ac:dyDescent="0.25">
      <c r="A5" s="6" t="s">
        <v>80</v>
      </c>
      <c r="B5" s="7">
        <v>46183</v>
      </c>
      <c r="C5" s="6" t="s">
        <v>23</v>
      </c>
      <c r="D5" s="6" t="s">
        <v>87</v>
      </c>
      <c r="E5" s="8"/>
      <c r="F5" s="14">
        <v>100</v>
      </c>
      <c r="G5" s="14">
        <v>50</v>
      </c>
      <c r="H5" s="7">
        <v>48019</v>
      </c>
      <c r="I5" s="8"/>
      <c r="J5" s="15"/>
      <c r="K5" s="15"/>
      <c r="L5" s="6" t="s">
        <v>82</v>
      </c>
      <c r="M5" s="16">
        <v>0.4</v>
      </c>
      <c r="N5" s="6" t="s">
        <v>83</v>
      </c>
      <c r="O5" s="13" t="s">
        <v>84</v>
      </c>
      <c r="P5" s="14"/>
      <c r="Q5" s="16"/>
      <c r="R5" s="9"/>
    </row>
    <row r="6" spans="1:18" x14ac:dyDescent="0.25">
      <c r="A6" s="2" t="s">
        <v>80</v>
      </c>
      <c r="B6" s="3">
        <v>46183</v>
      </c>
      <c r="C6" s="2" t="s">
        <v>26</v>
      </c>
      <c r="D6" s="2" t="s">
        <v>88</v>
      </c>
      <c r="E6" s="4"/>
      <c r="F6" s="10">
        <v>100</v>
      </c>
      <c r="G6" s="10">
        <v>39</v>
      </c>
      <c r="H6" s="3">
        <v>48019</v>
      </c>
      <c r="I6" s="4"/>
      <c r="J6" s="11"/>
      <c r="K6" s="11"/>
      <c r="L6" s="2" t="s">
        <v>82</v>
      </c>
      <c r="M6" s="12">
        <v>0.4</v>
      </c>
      <c r="N6" s="2" t="s">
        <v>83</v>
      </c>
      <c r="O6" s="13" t="s">
        <v>84</v>
      </c>
      <c r="P6" s="10"/>
      <c r="Q6" s="12"/>
      <c r="R6" s="5"/>
    </row>
    <row r="7" spans="1:18" x14ac:dyDescent="0.25">
      <c r="A7" s="6" t="s">
        <v>80</v>
      </c>
      <c r="B7" s="7">
        <v>46183</v>
      </c>
      <c r="C7" s="6" t="s">
        <v>29</v>
      </c>
      <c r="D7" s="6" t="s">
        <v>89</v>
      </c>
      <c r="E7" s="8"/>
      <c r="F7" s="14">
        <v>100</v>
      </c>
      <c r="G7" s="14">
        <v>71</v>
      </c>
      <c r="H7" s="7">
        <v>48019</v>
      </c>
      <c r="I7" s="8"/>
      <c r="J7" s="15"/>
      <c r="K7" s="15"/>
      <c r="L7" s="6" t="s">
        <v>82</v>
      </c>
      <c r="M7" s="16">
        <v>0.4</v>
      </c>
      <c r="N7" s="6" t="s">
        <v>83</v>
      </c>
      <c r="O7" s="13" t="s">
        <v>84</v>
      </c>
      <c r="P7" s="14"/>
      <c r="Q7" s="16"/>
      <c r="R7" s="9"/>
    </row>
    <row r="8" spans="1:18" x14ac:dyDescent="0.25">
      <c r="A8" s="2" t="s">
        <v>80</v>
      </c>
      <c r="B8" s="3">
        <v>46184</v>
      </c>
      <c r="C8" s="2" t="s">
        <v>9</v>
      </c>
      <c r="D8" s="2" t="s">
        <v>81</v>
      </c>
      <c r="E8" s="4"/>
      <c r="F8" s="10">
        <v>100</v>
      </c>
      <c r="G8" s="10">
        <v>158.8</v>
      </c>
      <c r="H8" s="3">
        <v>48019</v>
      </c>
      <c r="I8" s="4"/>
      <c r="J8" s="11"/>
      <c r="K8" s="11"/>
      <c r="L8" s="2" t="s">
        <v>82</v>
      </c>
      <c r="M8" s="12">
        <v>0.4</v>
      </c>
      <c r="N8" s="2" t="s">
        <v>83</v>
      </c>
      <c r="O8" s="13" t="s">
        <v>84</v>
      </c>
      <c r="P8" s="10"/>
      <c r="Q8" s="12"/>
      <c r="R8" s="5"/>
    </row>
    <row r="9" spans="1:18" x14ac:dyDescent="0.25">
      <c r="A9" s="6" t="s">
        <v>80</v>
      </c>
      <c r="B9" s="7">
        <v>46184</v>
      </c>
      <c r="C9" s="6" t="s">
        <v>14</v>
      </c>
      <c r="D9" s="6" t="s">
        <v>85</v>
      </c>
      <c r="E9" s="8"/>
      <c r="F9" s="14">
        <v>500</v>
      </c>
      <c r="G9" s="14">
        <v>505.71</v>
      </c>
      <c r="H9" s="7">
        <v>48019</v>
      </c>
      <c r="I9" s="8"/>
      <c r="J9" s="15"/>
      <c r="K9" s="15"/>
      <c r="L9" s="6" t="s">
        <v>82</v>
      </c>
      <c r="M9" s="16">
        <v>0.4</v>
      </c>
      <c r="N9" s="6" t="s">
        <v>83</v>
      </c>
      <c r="O9" s="13" t="s">
        <v>84</v>
      </c>
      <c r="P9" s="14"/>
      <c r="Q9" s="16"/>
      <c r="R9" s="9"/>
    </row>
    <row r="10" spans="1:18" x14ac:dyDescent="0.25">
      <c r="A10" s="2" t="s">
        <v>80</v>
      </c>
      <c r="B10" s="3">
        <v>46184</v>
      </c>
      <c r="C10" s="2" t="s">
        <v>20</v>
      </c>
      <c r="D10" s="2" t="s">
        <v>86</v>
      </c>
      <c r="E10" s="4"/>
      <c r="F10" s="10">
        <v>100</v>
      </c>
      <c r="G10" s="10">
        <v>50.86</v>
      </c>
      <c r="H10" s="3">
        <v>48019</v>
      </c>
      <c r="I10" s="4"/>
      <c r="J10" s="11"/>
      <c r="K10" s="11"/>
      <c r="L10" s="2" t="s">
        <v>82</v>
      </c>
      <c r="M10" s="12">
        <v>0.4</v>
      </c>
      <c r="N10" s="2" t="s">
        <v>83</v>
      </c>
      <c r="O10" s="13" t="s">
        <v>84</v>
      </c>
      <c r="P10" s="10"/>
      <c r="Q10" s="12"/>
      <c r="R10" s="5"/>
    </row>
    <row r="11" spans="1:18" x14ac:dyDescent="0.25">
      <c r="A11" s="6" t="s">
        <v>80</v>
      </c>
      <c r="B11" s="7">
        <v>46184</v>
      </c>
      <c r="C11" s="6" t="s">
        <v>23</v>
      </c>
      <c r="D11" s="6" t="s">
        <v>87</v>
      </c>
      <c r="E11" s="8"/>
      <c r="F11" s="14">
        <v>100</v>
      </c>
      <c r="G11" s="14">
        <v>49.86</v>
      </c>
      <c r="H11" s="7">
        <v>48019</v>
      </c>
      <c r="I11" s="8"/>
      <c r="J11" s="15"/>
      <c r="K11" s="15"/>
      <c r="L11" s="6" t="s">
        <v>82</v>
      </c>
      <c r="M11" s="16">
        <v>0.4</v>
      </c>
      <c r="N11" s="6" t="s">
        <v>83</v>
      </c>
      <c r="O11" s="13" t="s">
        <v>84</v>
      </c>
      <c r="P11" s="14"/>
      <c r="Q11" s="16"/>
      <c r="R11" s="9"/>
    </row>
    <row r="12" spans="1:18" x14ac:dyDescent="0.25">
      <c r="A12" s="2" t="s">
        <v>80</v>
      </c>
      <c r="B12" s="3">
        <v>46184</v>
      </c>
      <c r="C12" s="2" t="s">
        <v>26</v>
      </c>
      <c r="D12" s="2" t="s">
        <v>88</v>
      </c>
      <c r="E12" s="4"/>
      <c r="F12" s="10">
        <v>100</v>
      </c>
      <c r="G12" s="10">
        <v>38.86</v>
      </c>
      <c r="H12" s="3">
        <v>48019</v>
      </c>
      <c r="I12" s="4"/>
      <c r="J12" s="11"/>
      <c r="K12" s="11"/>
      <c r="L12" s="2" t="s">
        <v>82</v>
      </c>
      <c r="M12" s="12">
        <v>0.4</v>
      </c>
      <c r="N12" s="2" t="s">
        <v>83</v>
      </c>
      <c r="O12" s="13" t="s">
        <v>84</v>
      </c>
      <c r="P12" s="10"/>
      <c r="Q12" s="12"/>
      <c r="R12" s="5"/>
    </row>
    <row r="13" spans="1:18" x14ac:dyDescent="0.25">
      <c r="A13" s="6" t="s">
        <v>80</v>
      </c>
      <c r="B13" s="7">
        <v>46184</v>
      </c>
      <c r="C13" s="6" t="s">
        <v>29</v>
      </c>
      <c r="D13" s="6" t="s">
        <v>89</v>
      </c>
      <c r="E13" s="8"/>
      <c r="F13" s="14">
        <v>100</v>
      </c>
      <c r="G13" s="14">
        <v>70.71</v>
      </c>
      <c r="H13" s="7">
        <v>48019</v>
      </c>
      <c r="I13" s="8"/>
      <c r="J13" s="15"/>
      <c r="K13" s="15"/>
      <c r="L13" s="6" t="s">
        <v>82</v>
      </c>
      <c r="M13" s="16">
        <v>0.4</v>
      </c>
      <c r="N13" s="6" t="s">
        <v>83</v>
      </c>
      <c r="O13" s="13" t="s">
        <v>84</v>
      </c>
      <c r="P13" s="14"/>
      <c r="Q13" s="16"/>
      <c r="R13" s="9"/>
    </row>
    <row r="14" spans="1:18" x14ac:dyDescent="0.25">
      <c r="A14" s="2" t="s">
        <v>80</v>
      </c>
      <c r="B14" s="3">
        <v>46185</v>
      </c>
      <c r="C14" s="2" t="s">
        <v>9</v>
      </c>
      <c r="D14" s="2" t="s">
        <v>81</v>
      </c>
      <c r="E14" s="4"/>
      <c r="F14" s="10">
        <v>100</v>
      </c>
      <c r="G14" s="10">
        <v>157.6</v>
      </c>
      <c r="H14" s="3">
        <v>48019</v>
      </c>
      <c r="I14" s="4"/>
      <c r="J14" s="11"/>
      <c r="K14" s="11"/>
      <c r="L14" s="2" t="s">
        <v>82</v>
      </c>
      <c r="M14" s="12">
        <v>0.4</v>
      </c>
      <c r="N14" s="2" t="s">
        <v>83</v>
      </c>
      <c r="O14" s="13" t="s">
        <v>84</v>
      </c>
      <c r="P14" s="10"/>
      <c r="Q14" s="12"/>
      <c r="R14" s="5"/>
    </row>
    <row r="15" spans="1:18" x14ac:dyDescent="0.25">
      <c r="A15" s="6" t="s">
        <v>80</v>
      </c>
      <c r="B15" s="7">
        <v>46185</v>
      </c>
      <c r="C15" s="6" t="s">
        <v>14</v>
      </c>
      <c r="D15" s="6" t="s">
        <v>85</v>
      </c>
      <c r="E15" s="8"/>
      <c r="F15" s="14">
        <v>500</v>
      </c>
      <c r="G15" s="14">
        <v>501.43</v>
      </c>
      <c r="H15" s="7">
        <v>48019</v>
      </c>
      <c r="I15" s="8"/>
      <c r="J15" s="15"/>
      <c r="K15" s="15"/>
      <c r="L15" s="6" t="s">
        <v>82</v>
      </c>
      <c r="M15" s="16">
        <v>0.4</v>
      </c>
      <c r="N15" s="6" t="s">
        <v>83</v>
      </c>
      <c r="O15" s="13" t="s">
        <v>84</v>
      </c>
      <c r="P15" s="14"/>
      <c r="Q15" s="16"/>
      <c r="R15" s="9"/>
    </row>
    <row r="16" spans="1:18" x14ac:dyDescent="0.25">
      <c r="A16" s="2" t="s">
        <v>80</v>
      </c>
      <c r="B16" s="3">
        <v>46185</v>
      </c>
      <c r="C16" s="2" t="s">
        <v>20</v>
      </c>
      <c r="D16" s="2" t="s">
        <v>86</v>
      </c>
      <c r="E16" s="4"/>
      <c r="F16" s="10">
        <v>100</v>
      </c>
      <c r="G16" s="10">
        <v>50.71</v>
      </c>
      <c r="H16" s="3">
        <v>48019</v>
      </c>
      <c r="I16" s="4"/>
      <c r="J16" s="11"/>
      <c r="K16" s="11"/>
      <c r="L16" s="2" t="s">
        <v>82</v>
      </c>
      <c r="M16" s="12">
        <v>0.4</v>
      </c>
      <c r="N16" s="2" t="s">
        <v>83</v>
      </c>
      <c r="O16" s="13" t="s">
        <v>84</v>
      </c>
      <c r="P16" s="10"/>
      <c r="Q16" s="12"/>
      <c r="R16" s="5"/>
    </row>
    <row r="17" spans="1:18" x14ac:dyDescent="0.25">
      <c r="A17" s="6" t="s">
        <v>80</v>
      </c>
      <c r="B17" s="7">
        <v>46185</v>
      </c>
      <c r="C17" s="6" t="s">
        <v>23</v>
      </c>
      <c r="D17" s="6" t="s">
        <v>87</v>
      </c>
      <c r="E17" s="8"/>
      <c r="F17" s="14">
        <v>100</v>
      </c>
      <c r="G17" s="14">
        <v>49.71</v>
      </c>
      <c r="H17" s="7">
        <v>48019</v>
      </c>
      <c r="I17" s="8"/>
      <c r="J17" s="15"/>
      <c r="K17" s="15"/>
      <c r="L17" s="6" t="s">
        <v>82</v>
      </c>
      <c r="M17" s="16">
        <v>0.4</v>
      </c>
      <c r="N17" s="6" t="s">
        <v>83</v>
      </c>
      <c r="O17" s="13" t="s">
        <v>84</v>
      </c>
      <c r="P17" s="14"/>
      <c r="Q17" s="16"/>
      <c r="R17" s="9"/>
    </row>
    <row r="18" spans="1:18" x14ac:dyDescent="0.25">
      <c r="A18" s="2" t="s">
        <v>80</v>
      </c>
      <c r="B18" s="3">
        <v>46185</v>
      </c>
      <c r="C18" s="2" t="s">
        <v>26</v>
      </c>
      <c r="D18" s="2" t="s">
        <v>88</v>
      </c>
      <c r="E18" s="4"/>
      <c r="F18" s="10">
        <v>100</v>
      </c>
      <c r="G18" s="10">
        <v>38.71</v>
      </c>
      <c r="H18" s="3">
        <v>48019</v>
      </c>
      <c r="I18" s="4"/>
      <c r="J18" s="11"/>
      <c r="K18" s="11"/>
      <c r="L18" s="2" t="s">
        <v>82</v>
      </c>
      <c r="M18" s="12">
        <v>0.4</v>
      </c>
      <c r="N18" s="2" t="s">
        <v>83</v>
      </c>
      <c r="O18" s="13" t="s">
        <v>84</v>
      </c>
      <c r="P18" s="10"/>
      <c r="Q18" s="12"/>
      <c r="R18" s="5"/>
    </row>
    <row r="19" spans="1:18" x14ac:dyDescent="0.25">
      <c r="A19" s="6" t="s">
        <v>80</v>
      </c>
      <c r="B19" s="7">
        <v>46185</v>
      </c>
      <c r="C19" s="6" t="s">
        <v>29</v>
      </c>
      <c r="D19" s="6" t="s">
        <v>89</v>
      </c>
      <c r="E19" s="8"/>
      <c r="F19" s="14">
        <v>100</v>
      </c>
      <c r="G19" s="14">
        <v>70.43</v>
      </c>
      <c r="H19" s="7">
        <v>48019</v>
      </c>
      <c r="I19" s="8"/>
      <c r="J19" s="15"/>
      <c r="K19" s="15"/>
      <c r="L19" s="6" t="s">
        <v>82</v>
      </c>
      <c r="M19" s="16">
        <v>0.4</v>
      </c>
      <c r="N19" s="6" t="s">
        <v>83</v>
      </c>
      <c r="O19" s="13" t="s">
        <v>84</v>
      </c>
      <c r="P19" s="14"/>
      <c r="Q19" s="16"/>
      <c r="R19" s="9"/>
    </row>
    <row r="20" spans="1:18" x14ac:dyDescent="0.25">
      <c r="A20" s="2" t="s">
        <v>80</v>
      </c>
      <c r="B20" s="3">
        <v>46188</v>
      </c>
      <c r="C20" s="2" t="s">
        <v>9</v>
      </c>
      <c r="D20" s="2" t="s">
        <v>81</v>
      </c>
      <c r="E20" s="4"/>
      <c r="F20" s="10">
        <v>100</v>
      </c>
      <c r="G20" s="10">
        <v>154</v>
      </c>
      <c r="H20" s="3">
        <v>48019</v>
      </c>
      <c r="I20" s="4"/>
      <c r="J20" s="11"/>
      <c r="K20" s="11"/>
      <c r="L20" s="2" t="s">
        <v>82</v>
      </c>
      <c r="M20" s="12">
        <v>0.4</v>
      </c>
      <c r="N20" s="2" t="s">
        <v>83</v>
      </c>
      <c r="O20" s="13" t="s">
        <v>84</v>
      </c>
      <c r="P20" s="10"/>
      <c r="Q20" s="12"/>
      <c r="R20" s="5"/>
    </row>
    <row r="21" spans="1:18" x14ac:dyDescent="0.25">
      <c r="A21" s="6" t="s">
        <v>80</v>
      </c>
      <c r="B21" s="7">
        <v>46188</v>
      </c>
      <c r="C21" s="6" t="s">
        <v>14</v>
      </c>
      <c r="D21" s="6" t="s">
        <v>85</v>
      </c>
      <c r="E21" s="8"/>
      <c r="F21" s="14">
        <v>500</v>
      </c>
      <c r="G21" s="14">
        <v>488.57</v>
      </c>
      <c r="H21" s="7">
        <v>48019</v>
      </c>
      <c r="I21" s="8"/>
      <c r="J21" s="15"/>
      <c r="K21" s="15"/>
      <c r="L21" s="6" t="s">
        <v>82</v>
      </c>
      <c r="M21" s="16">
        <v>0.4</v>
      </c>
      <c r="N21" s="6" t="s">
        <v>83</v>
      </c>
      <c r="O21" s="13" t="s">
        <v>84</v>
      </c>
      <c r="P21" s="14"/>
      <c r="Q21" s="16"/>
      <c r="R21" s="9"/>
    </row>
    <row r="22" spans="1:18" x14ac:dyDescent="0.25">
      <c r="A22" s="2" t="s">
        <v>80</v>
      </c>
      <c r="B22" s="3">
        <v>46188</v>
      </c>
      <c r="C22" s="2" t="s">
        <v>20</v>
      </c>
      <c r="D22" s="2" t="s">
        <v>86</v>
      </c>
      <c r="E22" s="4"/>
      <c r="F22" s="10">
        <v>100</v>
      </c>
      <c r="G22" s="10">
        <v>50.29</v>
      </c>
      <c r="H22" s="3">
        <v>48019</v>
      </c>
      <c r="I22" s="4"/>
      <c r="J22" s="11"/>
      <c r="K22" s="11"/>
      <c r="L22" s="2" t="s">
        <v>82</v>
      </c>
      <c r="M22" s="12">
        <v>0.4</v>
      </c>
      <c r="N22" s="2" t="s">
        <v>83</v>
      </c>
      <c r="O22" s="13" t="s">
        <v>84</v>
      </c>
      <c r="P22" s="10"/>
      <c r="Q22" s="12"/>
      <c r="R22" s="5"/>
    </row>
    <row r="23" spans="1:18" x14ac:dyDescent="0.25">
      <c r="A23" s="6" t="s">
        <v>80</v>
      </c>
      <c r="B23" s="7">
        <v>46188</v>
      </c>
      <c r="C23" s="6" t="s">
        <v>23</v>
      </c>
      <c r="D23" s="6" t="s">
        <v>87</v>
      </c>
      <c r="E23" s="8"/>
      <c r="F23" s="14">
        <v>100</v>
      </c>
      <c r="G23" s="14">
        <v>49.29</v>
      </c>
      <c r="H23" s="7">
        <v>48019</v>
      </c>
      <c r="I23" s="8"/>
      <c r="J23" s="15"/>
      <c r="K23" s="15"/>
      <c r="L23" s="6" t="s">
        <v>82</v>
      </c>
      <c r="M23" s="16">
        <v>0.4</v>
      </c>
      <c r="N23" s="6" t="s">
        <v>83</v>
      </c>
      <c r="O23" s="13" t="s">
        <v>84</v>
      </c>
      <c r="P23" s="14"/>
      <c r="Q23" s="16"/>
      <c r="R23" s="9"/>
    </row>
    <row r="24" spans="1:18" x14ac:dyDescent="0.25">
      <c r="A24" s="2" t="s">
        <v>80</v>
      </c>
      <c r="B24" s="3">
        <v>46188</v>
      </c>
      <c r="C24" s="2" t="s">
        <v>26</v>
      </c>
      <c r="D24" s="2" t="s">
        <v>88</v>
      </c>
      <c r="E24" s="4"/>
      <c r="F24" s="10">
        <v>100</v>
      </c>
      <c r="G24" s="10">
        <v>38.29</v>
      </c>
      <c r="H24" s="3">
        <v>48019</v>
      </c>
      <c r="I24" s="4"/>
      <c r="J24" s="11"/>
      <c r="K24" s="11"/>
      <c r="L24" s="2" t="s">
        <v>82</v>
      </c>
      <c r="M24" s="12">
        <v>0.4</v>
      </c>
      <c r="N24" s="2" t="s">
        <v>83</v>
      </c>
      <c r="O24" s="13" t="s">
        <v>84</v>
      </c>
      <c r="P24" s="10"/>
      <c r="Q24" s="12"/>
      <c r="R24" s="5"/>
    </row>
    <row r="25" spans="1:18" x14ac:dyDescent="0.25">
      <c r="A25" s="6" t="s">
        <v>80</v>
      </c>
      <c r="B25" s="7">
        <v>46188</v>
      </c>
      <c r="C25" s="6" t="s">
        <v>29</v>
      </c>
      <c r="D25" s="6" t="s">
        <v>89</v>
      </c>
      <c r="E25" s="8"/>
      <c r="F25" s="14">
        <v>100</v>
      </c>
      <c r="G25" s="14">
        <v>69.57</v>
      </c>
      <c r="H25" s="7">
        <v>48019</v>
      </c>
      <c r="I25" s="8"/>
      <c r="J25" s="15"/>
      <c r="K25" s="15"/>
      <c r="L25" s="6" t="s">
        <v>82</v>
      </c>
      <c r="M25" s="16">
        <v>0.4</v>
      </c>
      <c r="N25" s="6" t="s">
        <v>83</v>
      </c>
      <c r="O25" s="13" t="s">
        <v>84</v>
      </c>
      <c r="P25" s="14"/>
      <c r="Q25" s="16"/>
      <c r="R25" s="9"/>
    </row>
    <row r="26" spans="1:18" x14ac:dyDescent="0.25">
      <c r="A26" s="2" t="s">
        <v>80</v>
      </c>
      <c r="B26" s="3">
        <v>46189</v>
      </c>
      <c r="C26" s="2" t="s">
        <v>9</v>
      </c>
      <c r="D26" s="2" t="s">
        <v>81</v>
      </c>
      <c r="E26" s="4"/>
      <c r="F26" s="10">
        <v>100</v>
      </c>
      <c r="G26" s="10">
        <v>154.86</v>
      </c>
      <c r="H26" s="3">
        <v>48019</v>
      </c>
      <c r="I26" s="4"/>
      <c r="J26" s="11"/>
      <c r="K26" s="11"/>
      <c r="L26" s="2" t="s">
        <v>82</v>
      </c>
      <c r="M26" s="12">
        <v>0.4</v>
      </c>
      <c r="N26" s="2" t="s">
        <v>83</v>
      </c>
      <c r="O26" s="13" t="s">
        <v>84</v>
      </c>
      <c r="P26" s="10"/>
      <c r="Q26" s="12"/>
      <c r="R26" s="5"/>
    </row>
    <row r="27" spans="1:18" x14ac:dyDescent="0.25">
      <c r="A27" s="6" t="s">
        <v>80</v>
      </c>
      <c r="B27" s="7">
        <v>46189</v>
      </c>
      <c r="C27" s="6" t="s">
        <v>14</v>
      </c>
      <c r="D27" s="6" t="s">
        <v>85</v>
      </c>
      <c r="E27" s="8"/>
      <c r="F27" s="14">
        <v>500</v>
      </c>
      <c r="G27" s="14">
        <v>484.29</v>
      </c>
      <c r="H27" s="7">
        <v>48019</v>
      </c>
      <c r="I27" s="8"/>
      <c r="J27" s="15"/>
      <c r="K27" s="15"/>
      <c r="L27" s="6" t="s">
        <v>82</v>
      </c>
      <c r="M27" s="16">
        <v>0.4</v>
      </c>
      <c r="N27" s="6" t="s">
        <v>83</v>
      </c>
      <c r="O27" s="13" t="s">
        <v>84</v>
      </c>
      <c r="P27" s="14"/>
      <c r="Q27" s="16"/>
      <c r="R27" s="9"/>
    </row>
    <row r="28" spans="1:18" x14ac:dyDescent="0.25">
      <c r="A28" s="2" t="s">
        <v>80</v>
      </c>
      <c r="B28" s="3">
        <v>46189</v>
      </c>
      <c r="C28" s="2" t="s">
        <v>20</v>
      </c>
      <c r="D28" s="2" t="s">
        <v>86</v>
      </c>
      <c r="E28" s="4"/>
      <c r="F28" s="10">
        <v>100</v>
      </c>
      <c r="G28" s="10">
        <v>50.14</v>
      </c>
      <c r="H28" s="3">
        <v>48019</v>
      </c>
      <c r="I28" s="4"/>
      <c r="J28" s="11"/>
      <c r="K28" s="11"/>
      <c r="L28" s="2" t="s">
        <v>82</v>
      </c>
      <c r="M28" s="12">
        <v>0.4</v>
      </c>
      <c r="N28" s="2" t="s">
        <v>83</v>
      </c>
      <c r="O28" s="13" t="s">
        <v>84</v>
      </c>
      <c r="P28" s="10"/>
      <c r="Q28" s="12"/>
      <c r="R28" s="5"/>
    </row>
    <row r="29" spans="1:18" x14ac:dyDescent="0.25">
      <c r="A29" s="6" t="s">
        <v>80</v>
      </c>
      <c r="B29" s="7">
        <v>46189</v>
      </c>
      <c r="C29" s="6" t="s">
        <v>23</v>
      </c>
      <c r="D29" s="6" t="s">
        <v>87</v>
      </c>
      <c r="E29" s="8"/>
      <c r="F29" s="14">
        <v>100</v>
      </c>
      <c r="G29" s="14">
        <v>49.14</v>
      </c>
      <c r="H29" s="7">
        <v>48019</v>
      </c>
      <c r="I29" s="8"/>
      <c r="J29" s="15"/>
      <c r="K29" s="15"/>
      <c r="L29" s="6" t="s">
        <v>82</v>
      </c>
      <c r="M29" s="16">
        <v>0.4</v>
      </c>
      <c r="N29" s="6" t="s">
        <v>83</v>
      </c>
      <c r="O29" s="13" t="s">
        <v>84</v>
      </c>
      <c r="P29" s="14"/>
      <c r="Q29" s="16"/>
      <c r="R29" s="9"/>
    </row>
    <row r="30" spans="1:18" x14ac:dyDescent="0.25">
      <c r="A30" s="2" t="s">
        <v>80</v>
      </c>
      <c r="B30" s="3">
        <v>46189</v>
      </c>
      <c r="C30" s="2" t="s">
        <v>26</v>
      </c>
      <c r="D30" s="2" t="s">
        <v>88</v>
      </c>
      <c r="E30" s="4"/>
      <c r="F30" s="10">
        <v>100</v>
      </c>
      <c r="G30" s="10">
        <v>38.14</v>
      </c>
      <c r="H30" s="3">
        <v>48019</v>
      </c>
      <c r="I30" s="4"/>
      <c r="J30" s="11"/>
      <c r="K30" s="11"/>
      <c r="L30" s="2" t="s">
        <v>82</v>
      </c>
      <c r="M30" s="12">
        <v>0.4</v>
      </c>
      <c r="N30" s="2" t="s">
        <v>83</v>
      </c>
      <c r="O30" s="13" t="s">
        <v>84</v>
      </c>
      <c r="P30" s="10"/>
      <c r="Q30" s="12"/>
      <c r="R30" s="5"/>
    </row>
    <row r="31" spans="1:18" x14ac:dyDescent="0.25">
      <c r="A31" s="6" t="s">
        <v>80</v>
      </c>
      <c r="B31" s="7">
        <v>46189</v>
      </c>
      <c r="C31" s="6" t="s">
        <v>29</v>
      </c>
      <c r="D31" s="6" t="s">
        <v>89</v>
      </c>
      <c r="E31" s="8"/>
      <c r="F31" s="14">
        <v>100</v>
      </c>
      <c r="G31" s="14">
        <v>69.29</v>
      </c>
      <c r="H31" s="7">
        <v>48019</v>
      </c>
      <c r="I31" s="8"/>
      <c r="J31" s="15"/>
      <c r="K31" s="15"/>
      <c r="L31" s="6" t="s">
        <v>82</v>
      </c>
      <c r="M31" s="16">
        <v>0.4</v>
      </c>
      <c r="N31" s="6" t="s">
        <v>83</v>
      </c>
      <c r="O31" s="13" t="s">
        <v>84</v>
      </c>
      <c r="P31" s="14"/>
      <c r="Q31" s="16"/>
      <c r="R31" s="9"/>
    </row>
    <row r="32" spans="1:18" x14ac:dyDescent="0.25">
      <c r="A32" s="2" t="s">
        <v>80</v>
      </c>
      <c r="B32" s="3">
        <v>46190</v>
      </c>
      <c r="C32" s="2" t="s">
        <v>9</v>
      </c>
      <c r="D32" s="2" t="s">
        <v>81</v>
      </c>
      <c r="E32" s="4"/>
      <c r="F32" s="10">
        <v>100</v>
      </c>
      <c r="G32" s="10">
        <v>155.71</v>
      </c>
      <c r="H32" s="3">
        <v>48019</v>
      </c>
      <c r="I32" s="4"/>
      <c r="J32" s="11"/>
      <c r="K32" s="11"/>
      <c r="L32" s="2" t="s">
        <v>82</v>
      </c>
      <c r="M32" s="12">
        <v>0.4</v>
      </c>
      <c r="N32" s="2" t="s">
        <v>83</v>
      </c>
      <c r="O32" s="13" t="s">
        <v>84</v>
      </c>
      <c r="P32" s="10"/>
      <c r="Q32" s="12"/>
      <c r="R32" s="5"/>
    </row>
    <row r="33" spans="1:18" x14ac:dyDescent="0.25">
      <c r="A33" s="6" t="s">
        <v>80</v>
      </c>
      <c r="B33" s="7">
        <v>46190</v>
      </c>
      <c r="C33" s="6" t="s">
        <v>14</v>
      </c>
      <c r="D33" s="6" t="s">
        <v>85</v>
      </c>
      <c r="E33" s="8"/>
      <c r="F33" s="14">
        <v>500</v>
      </c>
      <c r="G33" s="14">
        <v>480</v>
      </c>
      <c r="H33" s="7">
        <v>48019</v>
      </c>
      <c r="I33" s="8"/>
      <c r="J33" s="15"/>
      <c r="K33" s="15"/>
      <c r="L33" s="6" t="s">
        <v>82</v>
      </c>
      <c r="M33" s="16">
        <v>0.4</v>
      </c>
      <c r="N33" s="6" t="s">
        <v>83</v>
      </c>
      <c r="O33" s="13" t="s">
        <v>84</v>
      </c>
      <c r="P33" s="14"/>
      <c r="Q33" s="16"/>
      <c r="R33" s="9"/>
    </row>
    <row r="34" spans="1:18" x14ac:dyDescent="0.25">
      <c r="A34" s="2" t="s">
        <v>80</v>
      </c>
      <c r="B34" s="3">
        <v>46190</v>
      </c>
      <c r="C34" s="2" t="s">
        <v>20</v>
      </c>
      <c r="D34" s="2" t="s">
        <v>86</v>
      </c>
      <c r="E34" s="4"/>
      <c r="F34" s="10">
        <v>100</v>
      </c>
      <c r="G34" s="10">
        <v>50</v>
      </c>
      <c r="H34" s="3">
        <v>48019</v>
      </c>
      <c r="I34" s="4"/>
      <c r="J34" s="11"/>
      <c r="K34" s="11"/>
      <c r="L34" s="2" t="s">
        <v>82</v>
      </c>
      <c r="M34" s="12">
        <v>0.4</v>
      </c>
      <c r="N34" s="2" t="s">
        <v>83</v>
      </c>
      <c r="O34" s="13" t="s">
        <v>84</v>
      </c>
      <c r="P34" s="10"/>
      <c r="Q34" s="12"/>
      <c r="R34" s="5"/>
    </row>
    <row r="35" spans="1:18" x14ac:dyDescent="0.25">
      <c r="A35" s="6" t="s">
        <v>80</v>
      </c>
      <c r="B35" s="7">
        <v>46190</v>
      </c>
      <c r="C35" s="6" t="s">
        <v>23</v>
      </c>
      <c r="D35" s="6" t="s">
        <v>87</v>
      </c>
      <c r="E35" s="8"/>
      <c r="F35" s="14">
        <v>100</v>
      </c>
      <c r="G35" s="14">
        <v>49</v>
      </c>
      <c r="H35" s="7">
        <v>48019</v>
      </c>
      <c r="I35" s="8"/>
      <c r="J35" s="15"/>
      <c r="K35" s="15"/>
      <c r="L35" s="6" t="s">
        <v>82</v>
      </c>
      <c r="M35" s="16">
        <v>0.4</v>
      </c>
      <c r="N35" s="6" t="s">
        <v>83</v>
      </c>
      <c r="O35" s="13" t="s">
        <v>84</v>
      </c>
      <c r="P35" s="14"/>
      <c r="Q35" s="16"/>
      <c r="R35" s="9"/>
    </row>
    <row r="36" spans="1:18" x14ac:dyDescent="0.25">
      <c r="A36" s="2" t="s">
        <v>80</v>
      </c>
      <c r="B36" s="3">
        <v>46190</v>
      </c>
      <c r="C36" s="2" t="s">
        <v>26</v>
      </c>
      <c r="D36" s="2" t="s">
        <v>88</v>
      </c>
      <c r="E36" s="4"/>
      <c r="F36" s="10">
        <v>100</v>
      </c>
      <c r="G36" s="10">
        <v>38</v>
      </c>
      <c r="H36" s="3">
        <v>48019</v>
      </c>
      <c r="I36" s="4"/>
      <c r="J36" s="11"/>
      <c r="K36" s="11"/>
      <c r="L36" s="2" t="s">
        <v>82</v>
      </c>
      <c r="M36" s="12">
        <v>0.4</v>
      </c>
      <c r="N36" s="2" t="s">
        <v>83</v>
      </c>
      <c r="O36" s="13" t="s">
        <v>84</v>
      </c>
      <c r="P36" s="10"/>
      <c r="Q36" s="12"/>
      <c r="R36" s="5"/>
    </row>
    <row r="37" spans="1:18" x14ac:dyDescent="0.25">
      <c r="A37" s="6" t="s">
        <v>80</v>
      </c>
      <c r="B37" s="7">
        <v>46190</v>
      </c>
      <c r="C37" s="6" t="s">
        <v>29</v>
      </c>
      <c r="D37" s="6" t="s">
        <v>89</v>
      </c>
      <c r="E37" s="8"/>
      <c r="F37" s="14">
        <v>100</v>
      </c>
      <c r="G37" s="14">
        <v>69</v>
      </c>
      <c r="H37" s="7">
        <v>48019</v>
      </c>
      <c r="I37" s="8"/>
      <c r="J37" s="15"/>
      <c r="K37" s="15"/>
      <c r="L37" s="6" t="s">
        <v>82</v>
      </c>
      <c r="M37" s="16">
        <v>0.4</v>
      </c>
      <c r="N37" s="6" t="s">
        <v>83</v>
      </c>
      <c r="O37" s="13" t="s">
        <v>84</v>
      </c>
      <c r="P37" s="14"/>
      <c r="Q37" s="16"/>
      <c r="R37" s="9"/>
    </row>
    <row r="38" spans="1:18" x14ac:dyDescent="0.25">
      <c r="A38" s="2" t="s">
        <v>80</v>
      </c>
      <c r="B38" s="3">
        <v>46191</v>
      </c>
      <c r="C38" s="2" t="s">
        <v>9</v>
      </c>
      <c r="D38" s="2" t="s">
        <v>81</v>
      </c>
      <c r="E38" s="4"/>
      <c r="F38" s="10">
        <v>100</v>
      </c>
      <c r="G38" s="10">
        <v>156.57</v>
      </c>
      <c r="H38" s="3">
        <v>48019</v>
      </c>
      <c r="I38" s="4"/>
      <c r="J38" s="11"/>
      <c r="K38" s="11"/>
      <c r="L38" s="2" t="s">
        <v>82</v>
      </c>
      <c r="M38" s="12">
        <v>0.4</v>
      </c>
      <c r="N38" s="2" t="s">
        <v>83</v>
      </c>
      <c r="O38" s="13" t="s">
        <v>84</v>
      </c>
      <c r="P38" s="10"/>
      <c r="Q38" s="12"/>
      <c r="R38" s="5"/>
    </row>
    <row r="39" spans="1:18" x14ac:dyDescent="0.25">
      <c r="A39" s="6" t="s">
        <v>80</v>
      </c>
      <c r="B39" s="7">
        <v>46191</v>
      </c>
      <c r="C39" s="6" t="s">
        <v>14</v>
      </c>
      <c r="D39" s="6" t="s">
        <v>85</v>
      </c>
      <c r="E39" s="8"/>
      <c r="F39" s="14">
        <v>500</v>
      </c>
      <c r="G39" s="14">
        <v>490.71</v>
      </c>
      <c r="H39" s="7">
        <v>48019</v>
      </c>
      <c r="I39" s="8"/>
      <c r="J39" s="15"/>
      <c r="K39" s="15"/>
      <c r="L39" s="6" t="s">
        <v>82</v>
      </c>
      <c r="M39" s="16">
        <v>0.4</v>
      </c>
      <c r="N39" s="6" t="s">
        <v>83</v>
      </c>
      <c r="O39" s="13" t="s">
        <v>84</v>
      </c>
      <c r="P39" s="14"/>
      <c r="Q39" s="16"/>
      <c r="R39" s="9"/>
    </row>
    <row r="40" spans="1:18" x14ac:dyDescent="0.25">
      <c r="A40" s="2" t="s">
        <v>80</v>
      </c>
      <c r="B40" s="3">
        <v>46191</v>
      </c>
      <c r="C40" s="2" t="s">
        <v>20</v>
      </c>
      <c r="D40" s="2" t="s">
        <v>86</v>
      </c>
      <c r="E40" s="4"/>
      <c r="F40" s="10">
        <v>100</v>
      </c>
      <c r="G40" s="10">
        <v>50.57</v>
      </c>
      <c r="H40" s="3">
        <v>48019</v>
      </c>
      <c r="I40" s="4"/>
      <c r="J40" s="11"/>
      <c r="K40" s="11"/>
      <c r="L40" s="2" t="s">
        <v>82</v>
      </c>
      <c r="M40" s="12">
        <v>0.4</v>
      </c>
      <c r="N40" s="2" t="s">
        <v>83</v>
      </c>
      <c r="O40" s="13" t="s">
        <v>84</v>
      </c>
      <c r="P40" s="10"/>
      <c r="Q40" s="12"/>
      <c r="R40" s="5"/>
    </row>
    <row r="41" spans="1:18" x14ac:dyDescent="0.25">
      <c r="A41" s="6" t="s">
        <v>80</v>
      </c>
      <c r="B41" s="7">
        <v>46191</v>
      </c>
      <c r="C41" s="6" t="s">
        <v>23</v>
      </c>
      <c r="D41" s="6" t="s">
        <v>87</v>
      </c>
      <c r="E41" s="8"/>
      <c r="F41" s="14">
        <v>100</v>
      </c>
      <c r="G41" s="14">
        <v>49.43</v>
      </c>
      <c r="H41" s="7">
        <v>48019</v>
      </c>
      <c r="I41" s="8"/>
      <c r="J41" s="15"/>
      <c r="K41" s="15"/>
      <c r="L41" s="6" t="s">
        <v>82</v>
      </c>
      <c r="M41" s="16">
        <v>0.4</v>
      </c>
      <c r="N41" s="6" t="s">
        <v>83</v>
      </c>
      <c r="O41" s="13" t="s">
        <v>84</v>
      </c>
      <c r="P41" s="14"/>
      <c r="Q41" s="16"/>
      <c r="R41" s="9"/>
    </row>
    <row r="42" spans="1:18" x14ac:dyDescent="0.25">
      <c r="A42" s="2" t="s">
        <v>80</v>
      </c>
      <c r="B42" s="3">
        <v>46191</v>
      </c>
      <c r="C42" s="2" t="s">
        <v>26</v>
      </c>
      <c r="D42" s="2" t="s">
        <v>88</v>
      </c>
      <c r="E42" s="4"/>
      <c r="F42" s="10">
        <v>100</v>
      </c>
      <c r="G42" s="10">
        <v>38.29</v>
      </c>
      <c r="H42" s="3">
        <v>48019</v>
      </c>
      <c r="I42" s="4"/>
      <c r="J42" s="11"/>
      <c r="K42" s="11"/>
      <c r="L42" s="2" t="s">
        <v>82</v>
      </c>
      <c r="M42" s="12">
        <v>0.4</v>
      </c>
      <c r="N42" s="2" t="s">
        <v>83</v>
      </c>
      <c r="O42" s="13" t="s">
        <v>84</v>
      </c>
      <c r="P42" s="10"/>
      <c r="Q42" s="12"/>
      <c r="R42" s="5"/>
    </row>
    <row r="43" spans="1:18" x14ac:dyDescent="0.25">
      <c r="A43" s="6" t="s">
        <v>80</v>
      </c>
      <c r="B43" s="7">
        <v>46191</v>
      </c>
      <c r="C43" s="6" t="s">
        <v>29</v>
      </c>
      <c r="D43" s="6" t="s">
        <v>89</v>
      </c>
      <c r="E43" s="8"/>
      <c r="F43" s="14">
        <v>100</v>
      </c>
      <c r="G43" s="14">
        <v>69.29</v>
      </c>
      <c r="H43" s="7">
        <v>48019</v>
      </c>
      <c r="I43" s="8"/>
      <c r="J43" s="15"/>
      <c r="K43" s="15"/>
      <c r="L43" s="6" t="s">
        <v>82</v>
      </c>
      <c r="M43" s="16">
        <v>0.4</v>
      </c>
      <c r="N43" s="6" t="s">
        <v>83</v>
      </c>
      <c r="O43" s="13" t="s">
        <v>84</v>
      </c>
      <c r="P43" s="14"/>
      <c r="Q43" s="16"/>
      <c r="R43" s="9"/>
    </row>
    <row r="44" spans="1:18" x14ac:dyDescent="0.25">
      <c r="A44" s="2" t="s">
        <v>80</v>
      </c>
      <c r="B44" s="3">
        <v>46192</v>
      </c>
      <c r="C44" s="2" t="s">
        <v>9</v>
      </c>
      <c r="D44" s="2" t="s">
        <v>81</v>
      </c>
      <c r="E44" s="4"/>
      <c r="F44" s="10">
        <v>100</v>
      </c>
      <c r="G44" s="10">
        <v>157.43</v>
      </c>
      <c r="H44" s="3">
        <v>48019</v>
      </c>
      <c r="I44" s="4"/>
      <c r="J44" s="11"/>
      <c r="K44" s="11"/>
      <c r="L44" s="2" t="s">
        <v>82</v>
      </c>
      <c r="M44" s="12">
        <v>0.4</v>
      </c>
      <c r="N44" s="2" t="s">
        <v>83</v>
      </c>
      <c r="O44" s="13" t="s">
        <v>84</v>
      </c>
      <c r="P44" s="10"/>
      <c r="Q44" s="12"/>
      <c r="R44" s="5"/>
    </row>
    <row r="45" spans="1:18" x14ac:dyDescent="0.25">
      <c r="A45" s="6" t="s">
        <v>80</v>
      </c>
      <c r="B45" s="7">
        <v>46192</v>
      </c>
      <c r="C45" s="6" t="s">
        <v>14</v>
      </c>
      <c r="D45" s="6" t="s">
        <v>85</v>
      </c>
      <c r="E45" s="8"/>
      <c r="F45" s="14">
        <v>500</v>
      </c>
      <c r="G45" s="14">
        <v>501.43</v>
      </c>
      <c r="H45" s="7">
        <v>48019</v>
      </c>
      <c r="I45" s="8"/>
      <c r="J45" s="15"/>
      <c r="K45" s="15"/>
      <c r="L45" s="6" t="s">
        <v>82</v>
      </c>
      <c r="M45" s="16">
        <v>0.4</v>
      </c>
      <c r="N45" s="6" t="s">
        <v>83</v>
      </c>
      <c r="O45" s="13" t="s">
        <v>84</v>
      </c>
      <c r="P45" s="14"/>
      <c r="Q45" s="16"/>
      <c r="R45" s="9"/>
    </row>
    <row r="46" spans="1:18" x14ac:dyDescent="0.25">
      <c r="A46" s="2" t="s">
        <v>80</v>
      </c>
      <c r="B46" s="3">
        <v>46192</v>
      </c>
      <c r="C46" s="2" t="s">
        <v>20</v>
      </c>
      <c r="D46" s="2" t="s">
        <v>86</v>
      </c>
      <c r="E46" s="4"/>
      <c r="F46" s="10">
        <v>100</v>
      </c>
      <c r="G46" s="10">
        <v>51.14</v>
      </c>
      <c r="H46" s="3">
        <v>48019</v>
      </c>
      <c r="I46" s="4"/>
      <c r="J46" s="11"/>
      <c r="K46" s="11"/>
      <c r="L46" s="2" t="s">
        <v>82</v>
      </c>
      <c r="M46" s="12">
        <v>0.4</v>
      </c>
      <c r="N46" s="2" t="s">
        <v>83</v>
      </c>
      <c r="O46" s="13" t="s">
        <v>84</v>
      </c>
      <c r="P46" s="10"/>
      <c r="Q46" s="12"/>
      <c r="R46" s="5"/>
    </row>
    <row r="47" spans="1:18" x14ac:dyDescent="0.25">
      <c r="A47" s="6" t="s">
        <v>80</v>
      </c>
      <c r="B47" s="7">
        <v>46192</v>
      </c>
      <c r="C47" s="6" t="s">
        <v>23</v>
      </c>
      <c r="D47" s="6" t="s">
        <v>87</v>
      </c>
      <c r="E47" s="8"/>
      <c r="F47" s="14">
        <v>100</v>
      </c>
      <c r="G47" s="14">
        <v>49.86</v>
      </c>
      <c r="H47" s="7">
        <v>48019</v>
      </c>
      <c r="I47" s="8"/>
      <c r="J47" s="15"/>
      <c r="K47" s="15"/>
      <c r="L47" s="6" t="s">
        <v>82</v>
      </c>
      <c r="M47" s="16">
        <v>0.4</v>
      </c>
      <c r="N47" s="6" t="s">
        <v>83</v>
      </c>
      <c r="O47" s="13" t="s">
        <v>84</v>
      </c>
      <c r="P47" s="14"/>
      <c r="Q47" s="16"/>
      <c r="R47" s="9"/>
    </row>
    <row r="48" spans="1:18" x14ac:dyDescent="0.25">
      <c r="A48" s="2" t="s">
        <v>80</v>
      </c>
      <c r="B48" s="3">
        <v>46192</v>
      </c>
      <c r="C48" s="2" t="s">
        <v>26</v>
      </c>
      <c r="D48" s="2" t="s">
        <v>88</v>
      </c>
      <c r="E48" s="4"/>
      <c r="F48" s="10">
        <v>100</v>
      </c>
      <c r="G48" s="10">
        <v>38.57</v>
      </c>
      <c r="H48" s="3">
        <v>48019</v>
      </c>
      <c r="I48" s="4"/>
      <c r="J48" s="11"/>
      <c r="K48" s="11"/>
      <c r="L48" s="2" t="s">
        <v>82</v>
      </c>
      <c r="M48" s="12">
        <v>0.4</v>
      </c>
      <c r="N48" s="2" t="s">
        <v>83</v>
      </c>
      <c r="O48" s="13" t="s">
        <v>84</v>
      </c>
      <c r="P48" s="10"/>
      <c r="Q48" s="12"/>
      <c r="R48" s="5"/>
    </row>
    <row r="49" spans="1:18" x14ac:dyDescent="0.25">
      <c r="A49" s="6" t="s">
        <v>80</v>
      </c>
      <c r="B49" s="7">
        <v>46192</v>
      </c>
      <c r="C49" s="6" t="s">
        <v>29</v>
      </c>
      <c r="D49" s="6" t="s">
        <v>89</v>
      </c>
      <c r="E49" s="8"/>
      <c r="F49" s="14">
        <v>100</v>
      </c>
      <c r="G49" s="14">
        <v>69.57</v>
      </c>
      <c r="H49" s="7">
        <v>48019</v>
      </c>
      <c r="I49" s="8"/>
      <c r="J49" s="15"/>
      <c r="K49" s="15"/>
      <c r="L49" s="6" t="s">
        <v>82</v>
      </c>
      <c r="M49" s="16">
        <v>0.4</v>
      </c>
      <c r="N49" s="6" t="s">
        <v>83</v>
      </c>
      <c r="O49" s="13" t="s">
        <v>84</v>
      </c>
      <c r="P49" s="14"/>
      <c r="Q49" s="16"/>
      <c r="R49" s="9"/>
    </row>
    <row r="50" spans="1:18" x14ac:dyDescent="0.25">
      <c r="A50" s="2" t="s">
        <v>80</v>
      </c>
      <c r="B50" s="3">
        <v>46195</v>
      </c>
      <c r="C50" s="2" t="s">
        <v>9</v>
      </c>
      <c r="D50" s="2" t="s">
        <v>81</v>
      </c>
      <c r="E50" s="4"/>
      <c r="F50" s="10">
        <v>100</v>
      </c>
      <c r="G50" s="10">
        <v>160</v>
      </c>
      <c r="H50" s="3">
        <v>48019</v>
      </c>
      <c r="I50" s="4"/>
      <c r="J50" s="11"/>
      <c r="K50" s="11"/>
      <c r="L50" s="2" t="s">
        <v>82</v>
      </c>
      <c r="M50" s="12">
        <v>0.4</v>
      </c>
      <c r="N50" s="2" t="s">
        <v>83</v>
      </c>
      <c r="O50" s="13" t="s">
        <v>84</v>
      </c>
      <c r="P50" s="10"/>
      <c r="Q50" s="12"/>
      <c r="R50" s="5"/>
    </row>
    <row r="51" spans="1:18" x14ac:dyDescent="0.25">
      <c r="A51" s="6" t="s">
        <v>80</v>
      </c>
      <c r="B51" s="7">
        <v>46195</v>
      </c>
      <c r="C51" s="6" t="s">
        <v>14</v>
      </c>
      <c r="D51" s="6" t="s">
        <v>85</v>
      </c>
      <c r="E51" s="8"/>
      <c r="F51" s="14">
        <v>500</v>
      </c>
      <c r="G51" s="14">
        <v>533.57</v>
      </c>
      <c r="H51" s="7">
        <v>48019</v>
      </c>
      <c r="I51" s="8"/>
      <c r="J51" s="15"/>
      <c r="K51" s="15"/>
      <c r="L51" s="6" t="s">
        <v>82</v>
      </c>
      <c r="M51" s="16">
        <v>0.4</v>
      </c>
      <c r="N51" s="6" t="s">
        <v>83</v>
      </c>
      <c r="O51" s="13" t="s">
        <v>84</v>
      </c>
      <c r="P51" s="14"/>
      <c r="Q51" s="16"/>
      <c r="R51" s="9"/>
    </row>
    <row r="52" spans="1:18" x14ac:dyDescent="0.25">
      <c r="A52" s="2" t="s">
        <v>80</v>
      </c>
      <c r="B52" s="3">
        <v>46195</v>
      </c>
      <c r="C52" s="2" t="s">
        <v>17</v>
      </c>
      <c r="D52" s="2" t="s">
        <v>90</v>
      </c>
      <c r="E52" s="4"/>
      <c r="F52" s="10">
        <v>100</v>
      </c>
      <c r="G52" s="10">
        <v>40</v>
      </c>
      <c r="H52" s="3">
        <v>48019</v>
      </c>
      <c r="I52" s="4"/>
      <c r="J52" s="11"/>
      <c r="K52" s="11"/>
      <c r="L52" s="2" t="s">
        <v>82</v>
      </c>
      <c r="M52" s="12">
        <v>0.4</v>
      </c>
      <c r="N52" s="2" t="s">
        <v>83</v>
      </c>
      <c r="O52" s="13" t="s">
        <v>84</v>
      </c>
      <c r="P52" s="10"/>
      <c r="Q52" s="12"/>
      <c r="R52" s="5"/>
    </row>
    <row r="53" spans="1:18" x14ac:dyDescent="0.25">
      <c r="A53" s="6" t="s">
        <v>80</v>
      </c>
      <c r="B53" s="7">
        <v>46195</v>
      </c>
      <c r="C53" s="6" t="s">
        <v>20</v>
      </c>
      <c r="D53" s="6" t="s">
        <v>86</v>
      </c>
      <c r="E53" s="8"/>
      <c r="F53" s="14">
        <v>100</v>
      </c>
      <c r="G53" s="14">
        <v>52.86</v>
      </c>
      <c r="H53" s="7">
        <v>48019</v>
      </c>
      <c r="I53" s="8"/>
      <c r="J53" s="15"/>
      <c r="K53" s="15"/>
      <c r="L53" s="6" t="s">
        <v>82</v>
      </c>
      <c r="M53" s="16">
        <v>0.4</v>
      </c>
      <c r="N53" s="6" t="s">
        <v>83</v>
      </c>
      <c r="O53" s="13" t="s">
        <v>84</v>
      </c>
      <c r="P53" s="14"/>
      <c r="Q53" s="16"/>
      <c r="R53" s="9"/>
    </row>
    <row r="54" spans="1:18" x14ac:dyDescent="0.25">
      <c r="A54" s="2" t="s">
        <v>80</v>
      </c>
      <c r="B54" s="3">
        <v>46195</v>
      </c>
      <c r="C54" s="2" t="s">
        <v>23</v>
      </c>
      <c r="D54" s="2" t="s">
        <v>87</v>
      </c>
      <c r="E54" s="4"/>
      <c r="F54" s="10">
        <v>100</v>
      </c>
      <c r="G54" s="10">
        <v>51.14</v>
      </c>
      <c r="H54" s="3">
        <v>48019</v>
      </c>
      <c r="I54" s="4"/>
      <c r="J54" s="11"/>
      <c r="K54" s="11"/>
      <c r="L54" s="2" t="s">
        <v>82</v>
      </c>
      <c r="M54" s="12">
        <v>0.4</v>
      </c>
      <c r="N54" s="2" t="s">
        <v>83</v>
      </c>
      <c r="O54" s="13" t="s">
        <v>84</v>
      </c>
      <c r="P54" s="10"/>
      <c r="Q54" s="12"/>
      <c r="R54" s="5"/>
    </row>
    <row r="55" spans="1:18" x14ac:dyDescent="0.25">
      <c r="A55" s="6" t="s">
        <v>80</v>
      </c>
      <c r="B55" s="7">
        <v>46195</v>
      </c>
      <c r="C55" s="6" t="s">
        <v>26</v>
      </c>
      <c r="D55" s="6" t="s">
        <v>88</v>
      </c>
      <c r="E55" s="8"/>
      <c r="F55" s="14">
        <v>100</v>
      </c>
      <c r="G55" s="14">
        <v>39.43</v>
      </c>
      <c r="H55" s="7">
        <v>48019</v>
      </c>
      <c r="I55" s="8"/>
      <c r="J55" s="15"/>
      <c r="K55" s="15"/>
      <c r="L55" s="6" t="s">
        <v>82</v>
      </c>
      <c r="M55" s="16">
        <v>0.4</v>
      </c>
      <c r="N55" s="6" t="s">
        <v>83</v>
      </c>
      <c r="O55" s="13" t="s">
        <v>84</v>
      </c>
      <c r="P55" s="14"/>
      <c r="Q55" s="16"/>
      <c r="R55" s="9"/>
    </row>
    <row r="56" spans="1:18" x14ac:dyDescent="0.25">
      <c r="A56" s="2" t="s">
        <v>80</v>
      </c>
      <c r="B56" s="3">
        <v>46195</v>
      </c>
      <c r="C56" s="2" t="s">
        <v>29</v>
      </c>
      <c r="D56" s="2" t="s">
        <v>89</v>
      </c>
      <c r="E56" s="4"/>
      <c r="F56" s="10">
        <v>100</v>
      </c>
      <c r="G56" s="10">
        <v>70.43</v>
      </c>
      <c r="H56" s="3">
        <v>48019</v>
      </c>
      <c r="I56" s="4"/>
      <c r="J56" s="11"/>
      <c r="K56" s="11"/>
      <c r="L56" s="2" t="s">
        <v>82</v>
      </c>
      <c r="M56" s="12">
        <v>0.4</v>
      </c>
      <c r="N56" s="2" t="s">
        <v>83</v>
      </c>
      <c r="O56" s="13" t="s">
        <v>84</v>
      </c>
      <c r="P56" s="10"/>
      <c r="Q56" s="12"/>
      <c r="R56" s="5"/>
    </row>
    <row r="57" spans="1:18" x14ac:dyDescent="0.25">
      <c r="A57" s="6" t="s">
        <v>80</v>
      </c>
      <c r="B57" s="7">
        <v>46196</v>
      </c>
      <c r="C57" s="6" t="s">
        <v>9</v>
      </c>
      <c r="D57" s="6" t="s">
        <v>81</v>
      </c>
      <c r="E57" s="8"/>
      <c r="F57" s="14">
        <v>100</v>
      </c>
      <c r="G57" s="14">
        <v>161.57</v>
      </c>
      <c r="H57" s="7">
        <v>48019</v>
      </c>
      <c r="I57" s="8"/>
      <c r="J57" s="15"/>
      <c r="K57" s="15"/>
      <c r="L57" s="6" t="s">
        <v>82</v>
      </c>
      <c r="M57" s="16">
        <v>0.4</v>
      </c>
      <c r="N57" s="6" t="s">
        <v>83</v>
      </c>
      <c r="O57" s="13" t="s">
        <v>84</v>
      </c>
      <c r="P57" s="14"/>
      <c r="Q57" s="16"/>
      <c r="R57" s="9"/>
    </row>
    <row r="58" spans="1:18" x14ac:dyDescent="0.25">
      <c r="A58" s="2" t="s">
        <v>80</v>
      </c>
      <c r="B58" s="3">
        <v>46196</v>
      </c>
      <c r="C58" s="2" t="s">
        <v>14</v>
      </c>
      <c r="D58" s="2" t="s">
        <v>85</v>
      </c>
      <c r="E58" s="4"/>
      <c r="F58" s="10">
        <v>500</v>
      </c>
      <c r="G58" s="10">
        <v>544.29</v>
      </c>
      <c r="H58" s="3">
        <v>48019</v>
      </c>
      <c r="I58" s="4"/>
      <c r="J58" s="11"/>
      <c r="K58" s="11"/>
      <c r="L58" s="2" t="s">
        <v>82</v>
      </c>
      <c r="M58" s="12">
        <v>0.4</v>
      </c>
      <c r="N58" s="2" t="s">
        <v>83</v>
      </c>
      <c r="O58" s="13" t="s">
        <v>84</v>
      </c>
      <c r="P58" s="10"/>
      <c r="Q58" s="12"/>
      <c r="R58" s="5"/>
    </row>
    <row r="59" spans="1:18" x14ac:dyDescent="0.25">
      <c r="A59" s="6" t="s">
        <v>80</v>
      </c>
      <c r="B59" s="7">
        <v>46196</v>
      </c>
      <c r="C59" s="6" t="s">
        <v>17</v>
      </c>
      <c r="D59" s="6" t="s">
        <v>90</v>
      </c>
      <c r="E59" s="8"/>
      <c r="F59" s="14">
        <v>100</v>
      </c>
      <c r="G59" s="14">
        <v>40.86</v>
      </c>
      <c r="H59" s="7">
        <v>48019</v>
      </c>
      <c r="I59" s="8"/>
      <c r="J59" s="15"/>
      <c r="K59" s="15"/>
      <c r="L59" s="6" t="s">
        <v>82</v>
      </c>
      <c r="M59" s="16">
        <v>0.4</v>
      </c>
      <c r="N59" s="6" t="s">
        <v>83</v>
      </c>
      <c r="O59" s="13" t="s">
        <v>84</v>
      </c>
      <c r="P59" s="14"/>
      <c r="Q59" s="16"/>
      <c r="R59" s="9"/>
    </row>
    <row r="60" spans="1:18" x14ac:dyDescent="0.25">
      <c r="A60" s="2" t="s">
        <v>80</v>
      </c>
      <c r="B60" s="3">
        <v>46196</v>
      </c>
      <c r="C60" s="2" t="s">
        <v>20</v>
      </c>
      <c r="D60" s="2" t="s">
        <v>86</v>
      </c>
      <c r="E60" s="4"/>
      <c r="F60" s="10">
        <v>100</v>
      </c>
      <c r="G60" s="10">
        <v>53.43</v>
      </c>
      <c r="H60" s="3">
        <v>48019</v>
      </c>
      <c r="I60" s="4"/>
      <c r="J60" s="11"/>
      <c r="K60" s="11"/>
      <c r="L60" s="2" t="s">
        <v>82</v>
      </c>
      <c r="M60" s="12">
        <v>0.4</v>
      </c>
      <c r="N60" s="2" t="s">
        <v>83</v>
      </c>
      <c r="O60" s="13" t="s">
        <v>84</v>
      </c>
      <c r="P60" s="10"/>
      <c r="Q60" s="12"/>
      <c r="R60" s="5"/>
    </row>
    <row r="61" spans="1:18" x14ac:dyDescent="0.25">
      <c r="A61" s="6" t="s">
        <v>80</v>
      </c>
      <c r="B61" s="7">
        <v>46196</v>
      </c>
      <c r="C61" s="6" t="s">
        <v>23</v>
      </c>
      <c r="D61" s="6" t="s">
        <v>87</v>
      </c>
      <c r="E61" s="8"/>
      <c r="F61" s="14">
        <v>100</v>
      </c>
      <c r="G61" s="14">
        <v>51.57</v>
      </c>
      <c r="H61" s="7">
        <v>48019</v>
      </c>
      <c r="I61" s="8"/>
      <c r="J61" s="15"/>
      <c r="K61" s="15"/>
      <c r="L61" s="6" t="s">
        <v>82</v>
      </c>
      <c r="M61" s="16">
        <v>0.4</v>
      </c>
      <c r="N61" s="6" t="s">
        <v>83</v>
      </c>
      <c r="O61" s="13" t="s">
        <v>84</v>
      </c>
      <c r="P61" s="14"/>
      <c r="Q61" s="16"/>
      <c r="R61" s="9"/>
    </row>
    <row r="62" spans="1:18" x14ac:dyDescent="0.25">
      <c r="A62" s="2" t="s">
        <v>80</v>
      </c>
      <c r="B62" s="3">
        <v>46196</v>
      </c>
      <c r="C62" s="2" t="s">
        <v>26</v>
      </c>
      <c r="D62" s="2" t="s">
        <v>88</v>
      </c>
      <c r="E62" s="4"/>
      <c r="F62" s="10">
        <v>100</v>
      </c>
      <c r="G62" s="10">
        <v>39.71</v>
      </c>
      <c r="H62" s="3">
        <v>48019</v>
      </c>
      <c r="I62" s="4"/>
      <c r="J62" s="11"/>
      <c r="K62" s="11"/>
      <c r="L62" s="2" t="s">
        <v>82</v>
      </c>
      <c r="M62" s="12">
        <v>0.4</v>
      </c>
      <c r="N62" s="2" t="s">
        <v>83</v>
      </c>
      <c r="O62" s="13" t="s">
        <v>84</v>
      </c>
      <c r="P62" s="10"/>
      <c r="Q62" s="12"/>
      <c r="R62" s="5"/>
    </row>
    <row r="63" spans="1:18" x14ac:dyDescent="0.25">
      <c r="A63" s="6" t="s">
        <v>80</v>
      </c>
      <c r="B63" s="7">
        <v>46196</v>
      </c>
      <c r="C63" s="6" t="s">
        <v>29</v>
      </c>
      <c r="D63" s="6" t="s">
        <v>89</v>
      </c>
      <c r="E63" s="8"/>
      <c r="F63" s="14">
        <v>100</v>
      </c>
      <c r="G63" s="14">
        <v>70.71</v>
      </c>
      <c r="H63" s="7">
        <v>48019</v>
      </c>
      <c r="I63" s="8"/>
      <c r="J63" s="15"/>
      <c r="K63" s="15"/>
      <c r="L63" s="6" t="s">
        <v>82</v>
      </c>
      <c r="M63" s="16">
        <v>0.4</v>
      </c>
      <c r="N63" s="6" t="s">
        <v>83</v>
      </c>
      <c r="O63" s="13" t="s">
        <v>84</v>
      </c>
      <c r="P63" s="14"/>
      <c r="Q63" s="16"/>
      <c r="R63" s="9"/>
    </row>
    <row r="64" spans="1:18" x14ac:dyDescent="0.25">
      <c r="A64" s="2" t="s">
        <v>80</v>
      </c>
      <c r="B64" s="3">
        <v>46197</v>
      </c>
      <c r="C64" s="2" t="s">
        <v>9</v>
      </c>
      <c r="D64" s="2" t="s">
        <v>81</v>
      </c>
      <c r="E64" s="4"/>
      <c r="F64" s="10">
        <v>100</v>
      </c>
      <c r="G64" s="10">
        <v>163.14</v>
      </c>
      <c r="H64" s="3">
        <v>48019</v>
      </c>
      <c r="I64" s="4"/>
      <c r="J64" s="11"/>
      <c r="K64" s="11"/>
      <c r="L64" s="2" t="s">
        <v>82</v>
      </c>
      <c r="M64" s="12">
        <v>0.4</v>
      </c>
      <c r="N64" s="2" t="s">
        <v>83</v>
      </c>
      <c r="O64" s="13" t="s">
        <v>84</v>
      </c>
      <c r="P64" s="10"/>
      <c r="Q64" s="12"/>
      <c r="R64" s="5"/>
    </row>
    <row r="65" spans="1:18" x14ac:dyDescent="0.25">
      <c r="A65" s="6" t="s">
        <v>80</v>
      </c>
      <c r="B65" s="7">
        <v>46197</v>
      </c>
      <c r="C65" s="6" t="s">
        <v>14</v>
      </c>
      <c r="D65" s="6" t="s">
        <v>85</v>
      </c>
      <c r="E65" s="8"/>
      <c r="F65" s="14">
        <v>500</v>
      </c>
      <c r="G65" s="14">
        <v>555</v>
      </c>
      <c r="H65" s="7">
        <v>48019</v>
      </c>
      <c r="I65" s="8"/>
      <c r="J65" s="15"/>
      <c r="K65" s="15"/>
      <c r="L65" s="6" t="s">
        <v>82</v>
      </c>
      <c r="M65" s="16">
        <v>0.4</v>
      </c>
      <c r="N65" s="6" t="s">
        <v>83</v>
      </c>
      <c r="O65" s="13" t="s">
        <v>84</v>
      </c>
      <c r="P65" s="14"/>
      <c r="Q65" s="16"/>
      <c r="R65" s="9"/>
    </row>
    <row r="66" spans="1:18" x14ac:dyDescent="0.25">
      <c r="A66" s="2" t="s">
        <v>80</v>
      </c>
      <c r="B66" s="3">
        <v>46197</v>
      </c>
      <c r="C66" s="2" t="s">
        <v>17</v>
      </c>
      <c r="D66" s="2" t="s">
        <v>90</v>
      </c>
      <c r="E66" s="4"/>
      <c r="F66" s="10">
        <v>100</v>
      </c>
      <c r="G66" s="10">
        <v>41.71</v>
      </c>
      <c r="H66" s="3">
        <v>48019</v>
      </c>
      <c r="I66" s="4"/>
      <c r="J66" s="11"/>
      <c r="K66" s="11"/>
      <c r="L66" s="2" t="s">
        <v>82</v>
      </c>
      <c r="M66" s="12">
        <v>0.4</v>
      </c>
      <c r="N66" s="2" t="s">
        <v>83</v>
      </c>
      <c r="O66" s="13" t="s">
        <v>84</v>
      </c>
      <c r="P66" s="10"/>
      <c r="Q66" s="12"/>
      <c r="R66" s="5"/>
    </row>
    <row r="67" spans="1:18" x14ac:dyDescent="0.25">
      <c r="A67" s="6" t="s">
        <v>80</v>
      </c>
      <c r="B67" s="7">
        <v>46197</v>
      </c>
      <c r="C67" s="6" t="s">
        <v>20</v>
      </c>
      <c r="D67" s="6" t="s">
        <v>86</v>
      </c>
      <c r="E67" s="8"/>
      <c r="F67" s="14">
        <v>100</v>
      </c>
      <c r="G67" s="14">
        <v>54</v>
      </c>
      <c r="H67" s="7">
        <v>48019</v>
      </c>
      <c r="I67" s="8"/>
      <c r="J67" s="15"/>
      <c r="K67" s="15"/>
      <c r="L67" s="6" t="s">
        <v>82</v>
      </c>
      <c r="M67" s="16">
        <v>0.4</v>
      </c>
      <c r="N67" s="6" t="s">
        <v>83</v>
      </c>
      <c r="O67" s="13" t="s">
        <v>84</v>
      </c>
      <c r="P67" s="14"/>
      <c r="Q67" s="16"/>
      <c r="R67" s="9"/>
    </row>
    <row r="68" spans="1:18" x14ac:dyDescent="0.25">
      <c r="A68" s="2" t="s">
        <v>80</v>
      </c>
      <c r="B68" s="3">
        <v>46197</v>
      </c>
      <c r="C68" s="2" t="s">
        <v>23</v>
      </c>
      <c r="D68" s="2" t="s">
        <v>87</v>
      </c>
      <c r="E68" s="4"/>
      <c r="F68" s="10">
        <v>100</v>
      </c>
      <c r="G68" s="10">
        <v>52</v>
      </c>
      <c r="H68" s="3">
        <v>48019</v>
      </c>
      <c r="I68" s="4"/>
      <c r="J68" s="11"/>
      <c r="K68" s="11"/>
      <c r="L68" s="2" t="s">
        <v>82</v>
      </c>
      <c r="M68" s="12">
        <v>0.4</v>
      </c>
      <c r="N68" s="2" t="s">
        <v>83</v>
      </c>
      <c r="O68" s="13" t="s">
        <v>84</v>
      </c>
      <c r="P68" s="10"/>
      <c r="Q68" s="12"/>
      <c r="R68" s="5"/>
    </row>
    <row r="69" spans="1:18" x14ac:dyDescent="0.25">
      <c r="A69" s="6" t="s">
        <v>80</v>
      </c>
      <c r="B69" s="7">
        <v>46197</v>
      </c>
      <c r="C69" s="6" t="s">
        <v>26</v>
      </c>
      <c r="D69" s="6" t="s">
        <v>88</v>
      </c>
      <c r="E69" s="8"/>
      <c r="F69" s="14">
        <v>100</v>
      </c>
      <c r="G69" s="14">
        <v>40</v>
      </c>
      <c r="H69" s="7">
        <v>48019</v>
      </c>
      <c r="I69" s="8"/>
      <c r="J69" s="15"/>
      <c r="K69" s="15"/>
      <c r="L69" s="6" t="s">
        <v>82</v>
      </c>
      <c r="M69" s="16">
        <v>0.4</v>
      </c>
      <c r="N69" s="6" t="s">
        <v>83</v>
      </c>
      <c r="O69" s="13" t="s">
        <v>84</v>
      </c>
      <c r="P69" s="14"/>
      <c r="Q69" s="16"/>
      <c r="R69" s="9"/>
    </row>
    <row r="70" spans="1:18" x14ac:dyDescent="0.25">
      <c r="A70" s="2" t="s">
        <v>80</v>
      </c>
      <c r="B70" s="3">
        <v>46197</v>
      </c>
      <c r="C70" s="2" t="s">
        <v>29</v>
      </c>
      <c r="D70" s="2" t="s">
        <v>89</v>
      </c>
      <c r="E70" s="4"/>
      <c r="F70" s="10">
        <v>100</v>
      </c>
      <c r="G70" s="10">
        <v>71</v>
      </c>
      <c r="H70" s="3">
        <v>48019</v>
      </c>
      <c r="I70" s="4"/>
      <c r="J70" s="11"/>
      <c r="K70" s="11"/>
      <c r="L70" s="2" t="s">
        <v>82</v>
      </c>
      <c r="M70" s="12">
        <v>0.4</v>
      </c>
      <c r="N70" s="2" t="s">
        <v>83</v>
      </c>
      <c r="O70" s="13" t="s">
        <v>84</v>
      </c>
      <c r="P70" s="10"/>
      <c r="Q70" s="12"/>
      <c r="R70" s="5"/>
    </row>
    <row r="71" spans="1:18" x14ac:dyDescent="0.25">
      <c r="A71" s="6" t="s">
        <v>80</v>
      </c>
      <c r="B71" s="7">
        <v>46198</v>
      </c>
      <c r="C71" s="6" t="s">
        <v>9</v>
      </c>
      <c r="D71" s="6" t="s">
        <v>81</v>
      </c>
      <c r="E71" s="8"/>
      <c r="F71" s="14">
        <v>100</v>
      </c>
      <c r="G71" s="14">
        <v>164.71</v>
      </c>
      <c r="H71" s="7">
        <v>48019</v>
      </c>
      <c r="I71" s="8"/>
      <c r="J71" s="15"/>
      <c r="K71" s="15"/>
      <c r="L71" s="6" t="s">
        <v>82</v>
      </c>
      <c r="M71" s="16">
        <v>0.4</v>
      </c>
      <c r="N71" s="6" t="s">
        <v>83</v>
      </c>
      <c r="O71" s="13" t="s">
        <v>84</v>
      </c>
      <c r="P71" s="14"/>
      <c r="Q71" s="16"/>
      <c r="R71" s="9"/>
    </row>
    <row r="72" spans="1:18" x14ac:dyDescent="0.25">
      <c r="A72" s="2" t="s">
        <v>80</v>
      </c>
      <c r="B72" s="3">
        <v>46198</v>
      </c>
      <c r="C72" s="2" t="s">
        <v>14</v>
      </c>
      <c r="D72" s="2" t="s">
        <v>85</v>
      </c>
      <c r="E72" s="4"/>
      <c r="F72" s="10">
        <v>500</v>
      </c>
      <c r="G72" s="10">
        <v>554</v>
      </c>
      <c r="H72" s="3">
        <v>48019</v>
      </c>
      <c r="I72" s="4"/>
      <c r="J72" s="11"/>
      <c r="K72" s="11"/>
      <c r="L72" s="2" t="s">
        <v>82</v>
      </c>
      <c r="M72" s="12">
        <v>0.4</v>
      </c>
      <c r="N72" s="2" t="s">
        <v>83</v>
      </c>
      <c r="O72" s="13" t="s">
        <v>84</v>
      </c>
      <c r="P72" s="10"/>
      <c r="Q72" s="12"/>
      <c r="R72" s="5"/>
    </row>
    <row r="73" spans="1:18" x14ac:dyDescent="0.25">
      <c r="A73" s="6" t="s">
        <v>80</v>
      </c>
      <c r="B73" s="7">
        <v>46198</v>
      </c>
      <c r="C73" s="6" t="s">
        <v>17</v>
      </c>
      <c r="D73" s="6" t="s">
        <v>90</v>
      </c>
      <c r="E73" s="8"/>
      <c r="F73" s="14">
        <v>100</v>
      </c>
      <c r="G73" s="14">
        <v>42.57</v>
      </c>
      <c r="H73" s="7">
        <v>48019</v>
      </c>
      <c r="I73" s="8"/>
      <c r="J73" s="15"/>
      <c r="K73" s="15"/>
      <c r="L73" s="6" t="s">
        <v>82</v>
      </c>
      <c r="M73" s="16">
        <v>0.4</v>
      </c>
      <c r="N73" s="6" t="s">
        <v>83</v>
      </c>
      <c r="O73" s="13" t="s">
        <v>84</v>
      </c>
      <c r="P73" s="14"/>
      <c r="Q73" s="16"/>
      <c r="R73" s="9"/>
    </row>
    <row r="74" spans="1:18" x14ac:dyDescent="0.25">
      <c r="A74" s="2" t="s">
        <v>80</v>
      </c>
      <c r="B74" s="3">
        <v>46198</v>
      </c>
      <c r="C74" s="2" t="s">
        <v>20</v>
      </c>
      <c r="D74" s="2" t="s">
        <v>86</v>
      </c>
      <c r="E74" s="4"/>
      <c r="F74" s="10">
        <v>100</v>
      </c>
      <c r="G74" s="10">
        <v>54.13</v>
      </c>
      <c r="H74" s="3">
        <v>48019</v>
      </c>
      <c r="I74" s="4"/>
      <c r="J74" s="11"/>
      <c r="K74" s="11"/>
      <c r="L74" s="2" t="s">
        <v>82</v>
      </c>
      <c r="M74" s="12">
        <v>0.4</v>
      </c>
      <c r="N74" s="2" t="s">
        <v>83</v>
      </c>
      <c r="O74" s="13" t="s">
        <v>84</v>
      </c>
      <c r="P74" s="10"/>
      <c r="Q74" s="12"/>
      <c r="R74" s="5"/>
    </row>
    <row r="75" spans="1:18" x14ac:dyDescent="0.25">
      <c r="A75" s="6" t="s">
        <v>80</v>
      </c>
      <c r="B75" s="7">
        <v>46198</v>
      </c>
      <c r="C75" s="6" t="s">
        <v>23</v>
      </c>
      <c r="D75" s="6" t="s">
        <v>87</v>
      </c>
      <c r="E75" s="8"/>
      <c r="F75" s="14">
        <v>100</v>
      </c>
      <c r="G75" s="14">
        <v>52.29</v>
      </c>
      <c r="H75" s="7">
        <v>48019</v>
      </c>
      <c r="I75" s="8"/>
      <c r="J75" s="15"/>
      <c r="K75" s="15"/>
      <c r="L75" s="6" t="s">
        <v>82</v>
      </c>
      <c r="M75" s="16">
        <v>0.4</v>
      </c>
      <c r="N75" s="6" t="s">
        <v>83</v>
      </c>
      <c r="O75" s="13" t="s">
        <v>84</v>
      </c>
      <c r="P75" s="14"/>
      <c r="Q75" s="16"/>
      <c r="R75" s="9"/>
    </row>
    <row r="76" spans="1:18" x14ac:dyDescent="0.25">
      <c r="A76" s="2" t="s">
        <v>80</v>
      </c>
      <c r="B76" s="3">
        <v>46198</v>
      </c>
      <c r="C76" s="2" t="s">
        <v>26</v>
      </c>
      <c r="D76" s="2" t="s">
        <v>88</v>
      </c>
      <c r="E76" s="4"/>
      <c r="F76" s="10">
        <v>100</v>
      </c>
      <c r="G76" s="10">
        <v>40.4</v>
      </c>
      <c r="H76" s="3">
        <v>48019</v>
      </c>
      <c r="I76" s="4"/>
      <c r="J76" s="11"/>
      <c r="K76" s="11"/>
      <c r="L76" s="2" t="s">
        <v>82</v>
      </c>
      <c r="M76" s="12">
        <v>0.4</v>
      </c>
      <c r="N76" s="2" t="s">
        <v>83</v>
      </c>
      <c r="O76" s="13" t="s">
        <v>84</v>
      </c>
      <c r="P76" s="10"/>
      <c r="Q76" s="12"/>
      <c r="R76" s="5"/>
    </row>
    <row r="77" spans="1:18" x14ac:dyDescent="0.25">
      <c r="A77" s="6" t="s">
        <v>80</v>
      </c>
      <c r="B77" s="7">
        <v>46198</v>
      </c>
      <c r="C77" s="6" t="s">
        <v>29</v>
      </c>
      <c r="D77" s="6" t="s">
        <v>89</v>
      </c>
      <c r="E77" s="8"/>
      <c r="F77" s="14">
        <v>100</v>
      </c>
      <c r="G77" s="14">
        <v>70.63</v>
      </c>
      <c r="H77" s="7">
        <v>48019</v>
      </c>
      <c r="I77" s="8"/>
      <c r="J77" s="15"/>
      <c r="K77" s="15"/>
      <c r="L77" s="6" t="s">
        <v>82</v>
      </c>
      <c r="M77" s="16">
        <v>0.4</v>
      </c>
      <c r="N77" s="6" t="s">
        <v>83</v>
      </c>
      <c r="O77" s="13" t="s">
        <v>84</v>
      </c>
      <c r="P77" s="14"/>
      <c r="Q77" s="16"/>
      <c r="R77" s="9"/>
    </row>
    <row r="78" spans="1:18" x14ac:dyDescent="0.25">
      <c r="A78" s="2" t="s">
        <v>80</v>
      </c>
      <c r="B78" s="3">
        <v>46199</v>
      </c>
      <c r="C78" s="2" t="s">
        <v>9</v>
      </c>
      <c r="D78" s="2" t="s">
        <v>81</v>
      </c>
      <c r="E78" s="4"/>
      <c r="F78" s="10">
        <v>100</v>
      </c>
      <c r="G78" s="10">
        <v>166.29</v>
      </c>
      <c r="H78" s="3">
        <v>48019</v>
      </c>
      <c r="I78" s="4"/>
      <c r="J78" s="11"/>
      <c r="K78" s="11"/>
      <c r="L78" s="2" t="s">
        <v>82</v>
      </c>
      <c r="M78" s="12">
        <v>0.4</v>
      </c>
      <c r="N78" s="2" t="s">
        <v>83</v>
      </c>
      <c r="O78" s="13" t="s">
        <v>84</v>
      </c>
      <c r="P78" s="10"/>
      <c r="Q78" s="12"/>
      <c r="R78" s="5"/>
    </row>
    <row r="79" spans="1:18" x14ac:dyDescent="0.25">
      <c r="A79" s="6" t="s">
        <v>80</v>
      </c>
      <c r="B79" s="7">
        <v>46199</v>
      </c>
      <c r="C79" s="6" t="s">
        <v>14</v>
      </c>
      <c r="D79" s="6" t="s">
        <v>85</v>
      </c>
      <c r="E79" s="8"/>
      <c r="F79" s="14">
        <v>500</v>
      </c>
      <c r="G79" s="14">
        <v>553</v>
      </c>
      <c r="H79" s="7">
        <v>48019</v>
      </c>
      <c r="I79" s="8"/>
      <c r="J79" s="15"/>
      <c r="K79" s="15"/>
      <c r="L79" s="6" t="s">
        <v>82</v>
      </c>
      <c r="M79" s="16">
        <v>0.4</v>
      </c>
      <c r="N79" s="6" t="s">
        <v>83</v>
      </c>
      <c r="O79" s="13" t="s">
        <v>84</v>
      </c>
      <c r="P79" s="14"/>
      <c r="Q79" s="16"/>
      <c r="R79" s="9"/>
    </row>
    <row r="80" spans="1:18" x14ac:dyDescent="0.25">
      <c r="A80" s="2" t="s">
        <v>80</v>
      </c>
      <c r="B80" s="3">
        <v>46199</v>
      </c>
      <c r="C80" s="2" t="s">
        <v>17</v>
      </c>
      <c r="D80" s="2" t="s">
        <v>90</v>
      </c>
      <c r="E80" s="4"/>
      <c r="F80" s="10">
        <v>100</v>
      </c>
      <c r="G80" s="10">
        <v>43.43</v>
      </c>
      <c r="H80" s="3">
        <v>48019</v>
      </c>
      <c r="I80" s="4"/>
      <c r="J80" s="11"/>
      <c r="K80" s="11"/>
      <c r="L80" s="2" t="s">
        <v>82</v>
      </c>
      <c r="M80" s="12">
        <v>0.4</v>
      </c>
      <c r="N80" s="2" t="s">
        <v>83</v>
      </c>
      <c r="O80" s="13" t="s">
        <v>84</v>
      </c>
      <c r="P80" s="10"/>
      <c r="Q80" s="12"/>
      <c r="R80" s="5"/>
    </row>
    <row r="81" spans="1:18" x14ac:dyDescent="0.25">
      <c r="A81" s="6" t="s">
        <v>80</v>
      </c>
      <c r="B81" s="7">
        <v>46199</v>
      </c>
      <c r="C81" s="6" t="s">
        <v>20</v>
      </c>
      <c r="D81" s="6" t="s">
        <v>86</v>
      </c>
      <c r="E81" s="8"/>
      <c r="F81" s="14">
        <v>100</v>
      </c>
      <c r="G81" s="14">
        <v>54.25</v>
      </c>
      <c r="H81" s="7">
        <v>48019</v>
      </c>
      <c r="I81" s="8"/>
      <c r="J81" s="15"/>
      <c r="K81" s="15"/>
      <c r="L81" s="6" t="s">
        <v>82</v>
      </c>
      <c r="M81" s="16">
        <v>0.4</v>
      </c>
      <c r="N81" s="6" t="s">
        <v>83</v>
      </c>
      <c r="O81" s="13" t="s">
        <v>84</v>
      </c>
      <c r="P81" s="14"/>
      <c r="Q81" s="16"/>
      <c r="R81" s="9"/>
    </row>
    <row r="82" spans="1:18" x14ac:dyDescent="0.25">
      <c r="A82" s="2" t="s">
        <v>80</v>
      </c>
      <c r="B82" s="3">
        <v>46199</v>
      </c>
      <c r="C82" s="2" t="s">
        <v>23</v>
      </c>
      <c r="D82" s="2" t="s">
        <v>87</v>
      </c>
      <c r="E82" s="4"/>
      <c r="F82" s="10">
        <v>100</v>
      </c>
      <c r="G82" s="10">
        <v>52.57</v>
      </c>
      <c r="H82" s="3">
        <v>48019</v>
      </c>
      <c r="I82" s="4"/>
      <c r="J82" s="11"/>
      <c r="K82" s="11"/>
      <c r="L82" s="2" t="s">
        <v>82</v>
      </c>
      <c r="M82" s="12">
        <v>0.4</v>
      </c>
      <c r="N82" s="2" t="s">
        <v>83</v>
      </c>
      <c r="O82" s="13" t="s">
        <v>84</v>
      </c>
      <c r="P82" s="10"/>
      <c r="Q82" s="12"/>
      <c r="R82" s="5"/>
    </row>
    <row r="83" spans="1:18" x14ac:dyDescent="0.25">
      <c r="A83" s="6" t="s">
        <v>80</v>
      </c>
      <c r="B83" s="7">
        <v>46199</v>
      </c>
      <c r="C83" s="6" t="s">
        <v>26</v>
      </c>
      <c r="D83" s="6" t="s">
        <v>88</v>
      </c>
      <c r="E83" s="8"/>
      <c r="F83" s="14">
        <v>100</v>
      </c>
      <c r="G83" s="14">
        <v>40.8</v>
      </c>
      <c r="H83" s="7">
        <v>48019</v>
      </c>
      <c r="I83" s="8"/>
      <c r="J83" s="15"/>
      <c r="K83" s="15"/>
      <c r="L83" s="6" t="s">
        <v>82</v>
      </c>
      <c r="M83" s="16">
        <v>0.4</v>
      </c>
      <c r="N83" s="6" t="s">
        <v>83</v>
      </c>
      <c r="O83" s="13" t="s">
        <v>84</v>
      </c>
      <c r="P83" s="14"/>
      <c r="Q83" s="16"/>
      <c r="R83" s="9"/>
    </row>
    <row r="84" spans="1:18" x14ac:dyDescent="0.25">
      <c r="A84" s="2" t="s">
        <v>80</v>
      </c>
      <c r="B84" s="3">
        <v>46199</v>
      </c>
      <c r="C84" s="2" t="s">
        <v>29</v>
      </c>
      <c r="D84" s="2" t="s">
        <v>89</v>
      </c>
      <c r="E84" s="4"/>
      <c r="F84" s="10">
        <v>100</v>
      </c>
      <c r="G84" s="10">
        <v>70.25</v>
      </c>
      <c r="H84" s="3">
        <v>48019</v>
      </c>
      <c r="I84" s="4"/>
      <c r="J84" s="11"/>
      <c r="K84" s="11"/>
      <c r="L84" s="2" t="s">
        <v>82</v>
      </c>
      <c r="M84" s="12">
        <v>0.4</v>
      </c>
      <c r="N84" s="2" t="s">
        <v>83</v>
      </c>
      <c r="O84" s="13" t="s">
        <v>84</v>
      </c>
      <c r="P84" s="10"/>
      <c r="Q84" s="12"/>
      <c r="R84" s="5"/>
    </row>
    <row r="85" spans="1:18" x14ac:dyDescent="0.25">
      <c r="A85" s="6" t="s">
        <v>80</v>
      </c>
      <c r="B85" s="7">
        <v>46202</v>
      </c>
      <c r="C85" s="6" t="s">
        <v>9</v>
      </c>
      <c r="D85" s="6" t="s">
        <v>81</v>
      </c>
      <c r="E85" s="8"/>
      <c r="F85" s="14">
        <v>100</v>
      </c>
      <c r="G85" s="14">
        <v>171</v>
      </c>
      <c r="H85" s="7">
        <v>48019</v>
      </c>
      <c r="I85" s="8"/>
      <c r="J85" s="15"/>
      <c r="K85" s="15"/>
      <c r="L85" s="6" t="s">
        <v>82</v>
      </c>
      <c r="M85" s="16">
        <v>0.4</v>
      </c>
      <c r="N85" s="6" t="s">
        <v>83</v>
      </c>
      <c r="O85" s="13" t="s">
        <v>84</v>
      </c>
      <c r="P85" s="14"/>
      <c r="Q85" s="16"/>
      <c r="R85" s="9"/>
    </row>
    <row r="86" spans="1:18" x14ac:dyDescent="0.25">
      <c r="A86" s="2" t="s">
        <v>80</v>
      </c>
      <c r="B86" s="3">
        <v>46202</v>
      </c>
      <c r="C86" s="2" t="s">
        <v>14</v>
      </c>
      <c r="D86" s="2" t="s">
        <v>85</v>
      </c>
      <c r="E86" s="4"/>
      <c r="F86" s="10">
        <v>500</v>
      </c>
      <c r="G86" s="10">
        <v>550</v>
      </c>
      <c r="H86" s="3">
        <v>48019</v>
      </c>
      <c r="I86" s="4"/>
      <c r="J86" s="11"/>
      <c r="K86" s="11"/>
      <c r="L86" s="2" t="s">
        <v>82</v>
      </c>
      <c r="M86" s="12">
        <v>0.4</v>
      </c>
      <c r="N86" s="2" t="s">
        <v>83</v>
      </c>
      <c r="O86" s="13" t="s">
        <v>84</v>
      </c>
      <c r="P86" s="10"/>
      <c r="Q86" s="12"/>
      <c r="R86" s="5"/>
    </row>
    <row r="87" spans="1:18" x14ac:dyDescent="0.25">
      <c r="A87" s="6" t="s">
        <v>80</v>
      </c>
      <c r="B87" s="7">
        <v>46202</v>
      </c>
      <c r="C87" s="6" t="s">
        <v>17</v>
      </c>
      <c r="D87" s="6" t="s">
        <v>90</v>
      </c>
      <c r="E87" s="8"/>
      <c r="F87" s="14">
        <v>100</v>
      </c>
      <c r="G87" s="14">
        <v>46</v>
      </c>
      <c r="H87" s="7">
        <v>48019</v>
      </c>
      <c r="I87" s="8"/>
      <c r="J87" s="15"/>
      <c r="K87" s="15"/>
      <c r="L87" s="6" t="s">
        <v>82</v>
      </c>
      <c r="M87" s="16">
        <v>0.4</v>
      </c>
      <c r="N87" s="6" t="s">
        <v>83</v>
      </c>
      <c r="O87" s="13" t="s">
        <v>84</v>
      </c>
      <c r="P87" s="14"/>
      <c r="Q87" s="16"/>
      <c r="R87" s="9"/>
    </row>
    <row r="88" spans="1:18" x14ac:dyDescent="0.25">
      <c r="A88" s="2" t="s">
        <v>80</v>
      </c>
      <c r="B88" s="3">
        <v>46202</v>
      </c>
      <c r="C88" s="2" t="s">
        <v>20</v>
      </c>
      <c r="D88" s="2" t="s">
        <v>86</v>
      </c>
      <c r="E88" s="4"/>
      <c r="F88" s="10">
        <v>100</v>
      </c>
      <c r="G88" s="10">
        <v>54.63</v>
      </c>
      <c r="H88" s="3">
        <v>48019</v>
      </c>
      <c r="I88" s="4"/>
      <c r="J88" s="11"/>
      <c r="K88" s="11"/>
      <c r="L88" s="2" t="s">
        <v>82</v>
      </c>
      <c r="M88" s="12">
        <v>0.4</v>
      </c>
      <c r="N88" s="2" t="s">
        <v>83</v>
      </c>
      <c r="O88" s="13" t="s">
        <v>84</v>
      </c>
      <c r="P88" s="10"/>
      <c r="Q88" s="12"/>
      <c r="R88" s="5"/>
    </row>
    <row r="89" spans="1:18" x14ac:dyDescent="0.25">
      <c r="A89" s="6" t="s">
        <v>80</v>
      </c>
      <c r="B89" s="7">
        <v>46202</v>
      </c>
      <c r="C89" s="6" t="s">
        <v>23</v>
      </c>
      <c r="D89" s="6" t="s">
        <v>87</v>
      </c>
      <c r="E89" s="8"/>
      <c r="F89" s="14">
        <v>100</v>
      </c>
      <c r="G89" s="14">
        <v>53.43</v>
      </c>
      <c r="H89" s="7">
        <v>48019</v>
      </c>
      <c r="I89" s="8"/>
      <c r="J89" s="15"/>
      <c r="K89" s="15"/>
      <c r="L89" s="6" t="s">
        <v>82</v>
      </c>
      <c r="M89" s="16">
        <v>0.4</v>
      </c>
      <c r="N89" s="6" t="s">
        <v>83</v>
      </c>
      <c r="O89" s="13" t="s">
        <v>84</v>
      </c>
      <c r="P89" s="14"/>
      <c r="Q89" s="16"/>
      <c r="R89" s="9"/>
    </row>
    <row r="90" spans="1:18" x14ac:dyDescent="0.25">
      <c r="A90" s="2" t="s">
        <v>80</v>
      </c>
      <c r="B90" s="3">
        <v>46202</v>
      </c>
      <c r="C90" s="2" t="s">
        <v>26</v>
      </c>
      <c r="D90" s="2" t="s">
        <v>88</v>
      </c>
      <c r="E90" s="4"/>
      <c r="F90" s="10">
        <v>100</v>
      </c>
      <c r="G90" s="10">
        <v>42</v>
      </c>
      <c r="H90" s="3">
        <v>48019</v>
      </c>
      <c r="I90" s="4"/>
      <c r="J90" s="11"/>
      <c r="K90" s="11"/>
      <c r="L90" s="2" t="s">
        <v>82</v>
      </c>
      <c r="M90" s="12">
        <v>0.4</v>
      </c>
      <c r="N90" s="2" t="s">
        <v>83</v>
      </c>
      <c r="O90" s="13" t="s">
        <v>84</v>
      </c>
      <c r="P90" s="10"/>
      <c r="Q90" s="12"/>
      <c r="R90" s="5"/>
    </row>
    <row r="91" spans="1:18" x14ac:dyDescent="0.25">
      <c r="A91" s="6" t="s">
        <v>80</v>
      </c>
      <c r="B91" s="7">
        <v>46202</v>
      </c>
      <c r="C91" s="6" t="s">
        <v>29</v>
      </c>
      <c r="D91" s="6" t="s">
        <v>89</v>
      </c>
      <c r="E91" s="8"/>
      <c r="F91" s="14">
        <v>100</v>
      </c>
      <c r="G91" s="14">
        <v>69.13</v>
      </c>
      <c r="H91" s="7">
        <v>48019</v>
      </c>
      <c r="I91" s="8"/>
      <c r="J91" s="15"/>
      <c r="K91" s="15"/>
      <c r="L91" s="6" t="s">
        <v>82</v>
      </c>
      <c r="M91" s="16">
        <v>0.4</v>
      </c>
      <c r="N91" s="6" t="s">
        <v>83</v>
      </c>
      <c r="O91" s="13" t="s">
        <v>84</v>
      </c>
      <c r="P91" s="14"/>
      <c r="Q91" s="16"/>
      <c r="R91" s="9"/>
    </row>
    <row r="92" spans="1:18" x14ac:dyDescent="0.25">
      <c r="A92" s="2" t="s">
        <v>80</v>
      </c>
      <c r="B92" s="3">
        <v>46203</v>
      </c>
      <c r="C92" s="2" t="s">
        <v>9</v>
      </c>
      <c r="D92" s="2" t="s">
        <v>81</v>
      </c>
      <c r="E92" s="4"/>
      <c r="F92" s="10">
        <v>100</v>
      </c>
      <c r="G92" s="10">
        <v>170.71</v>
      </c>
      <c r="H92" s="3">
        <v>48019</v>
      </c>
      <c r="I92" s="4"/>
      <c r="J92" s="11"/>
      <c r="K92" s="11"/>
      <c r="L92" s="2" t="s">
        <v>82</v>
      </c>
      <c r="M92" s="12">
        <v>0.4</v>
      </c>
      <c r="N92" s="2" t="s">
        <v>83</v>
      </c>
      <c r="O92" s="13" t="s">
        <v>84</v>
      </c>
      <c r="P92" s="10"/>
      <c r="Q92" s="12"/>
      <c r="R92" s="5"/>
    </row>
    <row r="93" spans="1:18" x14ac:dyDescent="0.25">
      <c r="A93" s="6" t="s">
        <v>80</v>
      </c>
      <c r="B93" s="7">
        <v>46203</v>
      </c>
      <c r="C93" s="6" t="s">
        <v>14</v>
      </c>
      <c r="D93" s="6" t="s">
        <v>85</v>
      </c>
      <c r="E93" s="8"/>
      <c r="F93" s="14">
        <v>500</v>
      </c>
      <c r="G93" s="14">
        <v>561.67</v>
      </c>
      <c r="H93" s="7">
        <v>48019</v>
      </c>
      <c r="I93" s="8"/>
      <c r="J93" s="15"/>
      <c r="K93" s="15"/>
      <c r="L93" s="6" t="s">
        <v>82</v>
      </c>
      <c r="M93" s="16">
        <v>0.4</v>
      </c>
      <c r="N93" s="6" t="s">
        <v>83</v>
      </c>
      <c r="O93" s="13" t="s">
        <v>84</v>
      </c>
      <c r="P93" s="14"/>
      <c r="Q93" s="16"/>
      <c r="R93" s="9"/>
    </row>
    <row r="94" spans="1:18" x14ac:dyDescent="0.25">
      <c r="A94" s="2" t="s">
        <v>80</v>
      </c>
      <c r="B94" s="3">
        <v>46203</v>
      </c>
      <c r="C94" s="2" t="s">
        <v>17</v>
      </c>
      <c r="D94" s="2" t="s">
        <v>90</v>
      </c>
      <c r="E94" s="4"/>
      <c r="F94" s="10">
        <v>100</v>
      </c>
      <c r="G94" s="10">
        <v>45.89</v>
      </c>
      <c r="H94" s="3">
        <v>48019</v>
      </c>
      <c r="I94" s="4"/>
      <c r="J94" s="11"/>
      <c r="K94" s="11"/>
      <c r="L94" s="2" t="s">
        <v>82</v>
      </c>
      <c r="M94" s="12">
        <v>0.4</v>
      </c>
      <c r="N94" s="2" t="s">
        <v>83</v>
      </c>
      <c r="O94" s="13" t="s">
        <v>84</v>
      </c>
      <c r="P94" s="10"/>
      <c r="Q94" s="12"/>
      <c r="R94" s="5"/>
    </row>
    <row r="95" spans="1:18" x14ac:dyDescent="0.25">
      <c r="A95" s="6" t="s">
        <v>80</v>
      </c>
      <c r="B95" s="7">
        <v>46203</v>
      </c>
      <c r="C95" s="6" t="s">
        <v>20</v>
      </c>
      <c r="D95" s="6" t="s">
        <v>86</v>
      </c>
      <c r="E95" s="8"/>
      <c r="F95" s="14">
        <v>100</v>
      </c>
      <c r="G95" s="14">
        <v>54.75</v>
      </c>
      <c r="H95" s="7">
        <v>48019</v>
      </c>
      <c r="I95" s="8"/>
      <c r="J95" s="15"/>
      <c r="K95" s="15"/>
      <c r="L95" s="6" t="s">
        <v>82</v>
      </c>
      <c r="M95" s="16">
        <v>0.4</v>
      </c>
      <c r="N95" s="6" t="s">
        <v>83</v>
      </c>
      <c r="O95" s="13" t="s">
        <v>84</v>
      </c>
      <c r="P95" s="14"/>
      <c r="Q95" s="16"/>
      <c r="R95" s="9"/>
    </row>
    <row r="96" spans="1:18" x14ac:dyDescent="0.25">
      <c r="A96" s="2" t="s">
        <v>80</v>
      </c>
      <c r="B96" s="3">
        <v>46203</v>
      </c>
      <c r="C96" s="2" t="s">
        <v>23</v>
      </c>
      <c r="D96" s="2" t="s">
        <v>87</v>
      </c>
      <c r="E96" s="4"/>
      <c r="F96" s="10">
        <v>100</v>
      </c>
      <c r="G96" s="10">
        <v>53.71</v>
      </c>
      <c r="H96" s="3">
        <v>48019</v>
      </c>
      <c r="I96" s="4"/>
      <c r="J96" s="11"/>
      <c r="K96" s="11"/>
      <c r="L96" s="2" t="s">
        <v>82</v>
      </c>
      <c r="M96" s="12">
        <v>0.4</v>
      </c>
      <c r="N96" s="2" t="s">
        <v>83</v>
      </c>
      <c r="O96" s="13" t="s">
        <v>84</v>
      </c>
      <c r="P96" s="10"/>
      <c r="Q96" s="12"/>
      <c r="R96" s="5"/>
    </row>
    <row r="97" spans="1:18" x14ac:dyDescent="0.25">
      <c r="A97" s="6" t="s">
        <v>80</v>
      </c>
      <c r="B97" s="7">
        <v>46203</v>
      </c>
      <c r="C97" s="6" t="s">
        <v>26</v>
      </c>
      <c r="D97" s="6" t="s">
        <v>88</v>
      </c>
      <c r="E97" s="8"/>
      <c r="F97" s="14">
        <v>100</v>
      </c>
      <c r="G97" s="14">
        <v>41.86</v>
      </c>
      <c r="H97" s="7">
        <v>48019</v>
      </c>
      <c r="I97" s="8"/>
      <c r="J97" s="15"/>
      <c r="K97" s="15"/>
      <c r="L97" s="6" t="s">
        <v>82</v>
      </c>
      <c r="M97" s="16">
        <v>0.4</v>
      </c>
      <c r="N97" s="6" t="s">
        <v>83</v>
      </c>
      <c r="O97" s="13" t="s">
        <v>84</v>
      </c>
      <c r="P97" s="14"/>
      <c r="Q97" s="16"/>
      <c r="R97" s="9"/>
    </row>
    <row r="98" spans="1:18" x14ac:dyDescent="0.25">
      <c r="A98" s="2" t="s">
        <v>80</v>
      </c>
      <c r="B98" s="3">
        <v>46203</v>
      </c>
      <c r="C98" s="2" t="s">
        <v>29</v>
      </c>
      <c r="D98" s="2" t="s">
        <v>89</v>
      </c>
      <c r="E98" s="4"/>
      <c r="F98" s="10">
        <v>100</v>
      </c>
      <c r="G98" s="10">
        <v>68.75</v>
      </c>
      <c r="H98" s="3">
        <v>48019</v>
      </c>
      <c r="I98" s="4"/>
      <c r="J98" s="11"/>
      <c r="K98" s="11"/>
      <c r="L98" s="2" t="s">
        <v>82</v>
      </c>
      <c r="M98" s="12">
        <v>0.4</v>
      </c>
      <c r="N98" s="2" t="s">
        <v>83</v>
      </c>
      <c r="O98" s="13" t="s">
        <v>84</v>
      </c>
      <c r="P98" s="10"/>
      <c r="Q98" s="12"/>
      <c r="R98" s="5"/>
    </row>
    <row r="99" spans="1:18" x14ac:dyDescent="0.25">
      <c r="A99" s="6" t="s">
        <v>80</v>
      </c>
      <c r="B99" s="7">
        <v>46204</v>
      </c>
      <c r="C99" s="6" t="s">
        <v>9</v>
      </c>
      <c r="D99" s="6" t="s">
        <v>81</v>
      </c>
      <c r="E99" s="8"/>
      <c r="F99" s="14">
        <v>100</v>
      </c>
      <c r="G99" s="14">
        <v>170.43</v>
      </c>
      <c r="H99" s="7">
        <v>48019</v>
      </c>
      <c r="I99" s="8"/>
      <c r="J99" s="15"/>
      <c r="K99" s="15"/>
      <c r="L99" s="6" t="s">
        <v>82</v>
      </c>
      <c r="M99" s="16">
        <v>0.4</v>
      </c>
      <c r="N99" s="6" t="s">
        <v>83</v>
      </c>
      <c r="O99" s="13" t="s">
        <v>84</v>
      </c>
      <c r="P99" s="14"/>
      <c r="Q99" s="16"/>
      <c r="R99" s="9"/>
    </row>
    <row r="100" spans="1:18" x14ac:dyDescent="0.25">
      <c r="A100" s="2" t="s">
        <v>80</v>
      </c>
      <c r="B100" s="3">
        <v>46204</v>
      </c>
      <c r="C100" s="2" t="s">
        <v>14</v>
      </c>
      <c r="D100" s="2" t="s">
        <v>85</v>
      </c>
      <c r="E100" s="4"/>
      <c r="F100" s="10">
        <v>500</v>
      </c>
      <c r="G100" s="10">
        <v>573.33</v>
      </c>
      <c r="H100" s="3">
        <v>48019</v>
      </c>
      <c r="I100" s="4"/>
      <c r="J100" s="11"/>
      <c r="K100" s="11"/>
      <c r="L100" s="2" t="s">
        <v>82</v>
      </c>
      <c r="M100" s="12">
        <v>0.4</v>
      </c>
      <c r="N100" s="2" t="s">
        <v>83</v>
      </c>
      <c r="O100" s="13" t="s">
        <v>84</v>
      </c>
      <c r="P100" s="10"/>
      <c r="Q100" s="12"/>
      <c r="R100" s="5"/>
    </row>
    <row r="101" spans="1:18" x14ac:dyDescent="0.25">
      <c r="A101" s="6" t="s">
        <v>80</v>
      </c>
      <c r="B101" s="7">
        <v>46204</v>
      </c>
      <c r="C101" s="6" t="s">
        <v>17</v>
      </c>
      <c r="D101" s="6" t="s">
        <v>90</v>
      </c>
      <c r="E101" s="8"/>
      <c r="F101" s="14">
        <v>100</v>
      </c>
      <c r="G101" s="14">
        <v>45.78</v>
      </c>
      <c r="H101" s="7">
        <v>48019</v>
      </c>
      <c r="I101" s="8"/>
      <c r="J101" s="15"/>
      <c r="K101" s="15"/>
      <c r="L101" s="6" t="s">
        <v>82</v>
      </c>
      <c r="M101" s="16">
        <v>0.4</v>
      </c>
      <c r="N101" s="6" t="s">
        <v>83</v>
      </c>
      <c r="O101" s="13" t="s">
        <v>84</v>
      </c>
      <c r="P101" s="14"/>
      <c r="Q101" s="16"/>
      <c r="R101" s="9"/>
    </row>
    <row r="102" spans="1:18" x14ac:dyDescent="0.25">
      <c r="A102" s="2" t="s">
        <v>80</v>
      </c>
      <c r="B102" s="3">
        <v>46204</v>
      </c>
      <c r="C102" s="2" t="s">
        <v>20</v>
      </c>
      <c r="D102" s="2" t="s">
        <v>86</v>
      </c>
      <c r="E102" s="4"/>
      <c r="F102" s="10">
        <v>100</v>
      </c>
      <c r="G102" s="10">
        <v>54.88</v>
      </c>
      <c r="H102" s="3">
        <v>48019</v>
      </c>
      <c r="I102" s="4"/>
      <c r="J102" s="11"/>
      <c r="K102" s="11"/>
      <c r="L102" s="2" t="s">
        <v>82</v>
      </c>
      <c r="M102" s="12">
        <v>0.4</v>
      </c>
      <c r="N102" s="2" t="s">
        <v>83</v>
      </c>
      <c r="O102" s="13" t="s">
        <v>84</v>
      </c>
      <c r="P102" s="10"/>
      <c r="Q102" s="12"/>
      <c r="R102" s="5"/>
    </row>
    <row r="103" spans="1:18" x14ac:dyDescent="0.25">
      <c r="A103" s="6" t="s">
        <v>80</v>
      </c>
      <c r="B103" s="7">
        <v>46204</v>
      </c>
      <c r="C103" s="6" t="s">
        <v>23</v>
      </c>
      <c r="D103" s="6" t="s">
        <v>87</v>
      </c>
      <c r="E103" s="8"/>
      <c r="F103" s="14">
        <v>100</v>
      </c>
      <c r="G103" s="14">
        <v>54</v>
      </c>
      <c r="H103" s="7">
        <v>48019</v>
      </c>
      <c r="I103" s="8"/>
      <c r="J103" s="15"/>
      <c r="K103" s="15"/>
      <c r="L103" s="6" t="s">
        <v>82</v>
      </c>
      <c r="M103" s="16">
        <v>0.4</v>
      </c>
      <c r="N103" s="6" t="s">
        <v>83</v>
      </c>
      <c r="O103" s="13" t="s">
        <v>84</v>
      </c>
      <c r="P103" s="14"/>
      <c r="Q103" s="16"/>
      <c r="R103" s="9"/>
    </row>
    <row r="104" spans="1:18" x14ac:dyDescent="0.25">
      <c r="A104" s="2" t="s">
        <v>80</v>
      </c>
      <c r="B104" s="3">
        <v>46204</v>
      </c>
      <c r="C104" s="2" t="s">
        <v>26</v>
      </c>
      <c r="D104" s="2" t="s">
        <v>88</v>
      </c>
      <c r="E104" s="4"/>
      <c r="F104" s="10">
        <v>100</v>
      </c>
      <c r="G104" s="10">
        <v>41.71</v>
      </c>
      <c r="H104" s="3">
        <v>48019</v>
      </c>
      <c r="I104" s="4"/>
      <c r="J104" s="11"/>
      <c r="K104" s="11"/>
      <c r="L104" s="2" t="s">
        <v>82</v>
      </c>
      <c r="M104" s="12">
        <v>0.4</v>
      </c>
      <c r="N104" s="2" t="s">
        <v>83</v>
      </c>
      <c r="O104" s="13" t="s">
        <v>84</v>
      </c>
      <c r="P104" s="10"/>
      <c r="Q104" s="12"/>
      <c r="R104" s="5"/>
    </row>
    <row r="105" spans="1:18" x14ac:dyDescent="0.25">
      <c r="A105" s="6" t="s">
        <v>80</v>
      </c>
      <c r="B105" s="7">
        <v>46204</v>
      </c>
      <c r="C105" s="6" t="s">
        <v>29</v>
      </c>
      <c r="D105" s="6" t="s">
        <v>89</v>
      </c>
      <c r="E105" s="8"/>
      <c r="F105" s="14">
        <v>100</v>
      </c>
      <c r="G105" s="14">
        <v>68.38</v>
      </c>
      <c r="H105" s="7">
        <v>48019</v>
      </c>
      <c r="I105" s="8"/>
      <c r="J105" s="15"/>
      <c r="K105" s="15"/>
      <c r="L105" s="6" t="s">
        <v>82</v>
      </c>
      <c r="M105" s="16">
        <v>0.4</v>
      </c>
      <c r="N105" s="6" t="s">
        <v>83</v>
      </c>
      <c r="O105" s="13" t="s">
        <v>84</v>
      </c>
      <c r="P105" s="14"/>
      <c r="Q105" s="16"/>
      <c r="R105" s="9"/>
    </row>
    <row r="106" spans="1:18" x14ac:dyDescent="0.25">
      <c r="A106" s="2" t="s">
        <v>80</v>
      </c>
      <c r="B106" s="3">
        <v>46205</v>
      </c>
      <c r="C106" s="2" t="s">
        <v>9</v>
      </c>
      <c r="D106" s="2" t="s">
        <v>81</v>
      </c>
      <c r="E106" s="4"/>
      <c r="F106" s="10">
        <v>100</v>
      </c>
      <c r="G106" s="10">
        <v>170.14</v>
      </c>
      <c r="H106" s="3">
        <v>48019</v>
      </c>
      <c r="I106" s="4"/>
      <c r="J106" s="11"/>
      <c r="K106" s="11"/>
      <c r="L106" s="2" t="s">
        <v>82</v>
      </c>
      <c r="M106" s="12">
        <v>0.4</v>
      </c>
      <c r="N106" s="2" t="s">
        <v>83</v>
      </c>
      <c r="O106" s="13" t="s">
        <v>84</v>
      </c>
      <c r="P106" s="10"/>
      <c r="Q106" s="12"/>
      <c r="R106" s="5"/>
    </row>
    <row r="107" spans="1:18" x14ac:dyDescent="0.25">
      <c r="A107" s="6" t="s">
        <v>80</v>
      </c>
      <c r="B107" s="7">
        <v>46205</v>
      </c>
      <c r="C107" s="6" t="s">
        <v>14</v>
      </c>
      <c r="D107" s="6" t="s">
        <v>85</v>
      </c>
      <c r="E107" s="8"/>
      <c r="F107" s="14">
        <v>500</v>
      </c>
      <c r="G107" s="14">
        <v>585</v>
      </c>
      <c r="H107" s="7">
        <v>48019</v>
      </c>
      <c r="I107" s="8"/>
      <c r="J107" s="15"/>
      <c r="K107" s="15"/>
      <c r="L107" s="6" t="s">
        <v>82</v>
      </c>
      <c r="M107" s="16">
        <v>0.4</v>
      </c>
      <c r="N107" s="6" t="s">
        <v>83</v>
      </c>
      <c r="O107" s="13" t="s">
        <v>84</v>
      </c>
      <c r="P107" s="14"/>
      <c r="Q107" s="16"/>
      <c r="R107" s="9"/>
    </row>
    <row r="108" spans="1:18" x14ac:dyDescent="0.25">
      <c r="A108" s="2" t="s">
        <v>80</v>
      </c>
      <c r="B108" s="3">
        <v>46205</v>
      </c>
      <c r="C108" s="2" t="s">
        <v>17</v>
      </c>
      <c r="D108" s="2" t="s">
        <v>90</v>
      </c>
      <c r="E108" s="4"/>
      <c r="F108" s="10">
        <v>100</v>
      </c>
      <c r="G108" s="10">
        <v>45.67</v>
      </c>
      <c r="H108" s="3">
        <v>48019</v>
      </c>
      <c r="I108" s="4"/>
      <c r="J108" s="11"/>
      <c r="K108" s="11"/>
      <c r="L108" s="2" t="s">
        <v>82</v>
      </c>
      <c r="M108" s="12">
        <v>0.4</v>
      </c>
      <c r="N108" s="2" t="s">
        <v>83</v>
      </c>
      <c r="O108" s="13" t="s">
        <v>84</v>
      </c>
      <c r="P108" s="10"/>
      <c r="Q108" s="12"/>
      <c r="R108" s="5"/>
    </row>
    <row r="109" spans="1:18" x14ac:dyDescent="0.25">
      <c r="A109" s="6" t="s">
        <v>80</v>
      </c>
      <c r="B109" s="7">
        <v>46205</v>
      </c>
      <c r="C109" s="6" t="s">
        <v>20</v>
      </c>
      <c r="D109" s="6" t="s">
        <v>86</v>
      </c>
      <c r="E109" s="8"/>
      <c r="F109" s="14">
        <v>100</v>
      </c>
      <c r="G109" s="14">
        <v>55</v>
      </c>
      <c r="H109" s="7">
        <v>48019</v>
      </c>
      <c r="I109" s="8"/>
      <c r="J109" s="15"/>
      <c r="K109" s="15"/>
      <c r="L109" s="6" t="s">
        <v>82</v>
      </c>
      <c r="M109" s="16">
        <v>0.4</v>
      </c>
      <c r="N109" s="6" t="s">
        <v>83</v>
      </c>
      <c r="O109" s="13" t="s">
        <v>84</v>
      </c>
      <c r="P109" s="14"/>
      <c r="Q109" s="16"/>
      <c r="R109" s="9"/>
    </row>
    <row r="110" spans="1:18" x14ac:dyDescent="0.25">
      <c r="A110" s="2" t="s">
        <v>80</v>
      </c>
      <c r="B110" s="3">
        <v>46205</v>
      </c>
      <c r="C110" s="2" t="s">
        <v>23</v>
      </c>
      <c r="D110" s="2" t="s">
        <v>87</v>
      </c>
      <c r="E110" s="4"/>
      <c r="F110" s="10">
        <v>100</v>
      </c>
      <c r="G110" s="10">
        <v>53.8</v>
      </c>
      <c r="H110" s="3">
        <v>48019</v>
      </c>
      <c r="I110" s="4"/>
      <c r="J110" s="11"/>
      <c r="K110" s="11"/>
      <c r="L110" s="2" t="s">
        <v>82</v>
      </c>
      <c r="M110" s="12">
        <v>0.4</v>
      </c>
      <c r="N110" s="2" t="s">
        <v>83</v>
      </c>
      <c r="O110" s="13" t="s">
        <v>84</v>
      </c>
      <c r="P110" s="10"/>
      <c r="Q110" s="12"/>
      <c r="R110" s="5"/>
    </row>
    <row r="111" spans="1:18" x14ac:dyDescent="0.25">
      <c r="A111" s="6" t="s">
        <v>80</v>
      </c>
      <c r="B111" s="7">
        <v>46205</v>
      </c>
      <c r="C111" s="6" t="s">
        <v>26</v>
      </c>
      <c r="D111" s="6" t="s">
        <v>88</v>
      </c>
      <c r="E111" s="8"/>
      <c r="F111" s="14">
        <v>100</v>
      </c>
      <c r="G111" s="14">
        <v>41.57</v>
      </c>
      <c r="H111" s="7">
        <v>48019</v>
      </c>
      <c r="I111" s="8"/>
      <c r="J111" s="15"/>
      <c r="K111" s="15"/>
      <c r="L111" s="6" t="s">
        <v>82</v>
      </c>
      <c r="M111" s="16">
        <v>0.4</v>
      </c>
      <c r="N111" s="6" t="s">
        <v>83</v>
      </c>
      <c r="O111" s="13" t="s">
        <v>84</v>
      </c>
      <c r="P111" s="14"/>
      <c r="Q111" s="16"/>
      <c r="R111" s="9"/>
    </row>
    <row r="112" spans="1:18" x14ac:dyDescent="0.25">
      <c r="A112" s="2" t="s">
        <v>80</v>
      </c>
      <c r="B112" s="3">
        <v>46205</v>
      </c>
      <c r="C112" s="2" t="s">
        <v>29</v>
      </c>
      <c r="D112" s="2" t="s">
        <v>89</v>
      </c>
      <c r="E112" s="4"/>
      <c r="F112" s="10">
        <v>100</v>
      </c>
      <c r="G112" s="10">
        <v>68</v>
      </c>
      <c r="H112" s="3">
        <v>48019</v>
      </c>
      <c r="I112" s="4"/>
      <c r="J112" s="11"/>
      <c r="K112" s="11"/>
      <c r="L112" s="2" t="s">
        <v>82</v>
      </c>
      <c r="M112" s="12">
        <v>0.4</v>
      </c>
      <c r="N112" s="2" t="s">
        <v>83</v>
      </c>
      <c r="O112" s="13" t="s">
        <v>84</v>
      </c>
      <c r="P112" s="10"/>
      <c r="Q112" s="12"/>
      <c r="R112" s="5"/>
    </row>
    <row r="113" spans="1:18" x14ac:dyDescent="0.25">
      <c r="A113" s="6" t="s">
        <v>80</v>
      </c>
      <c r="B113" s="7">
        <v>46206</v>
      </c>
      <c r="C113" s="6" t="s">
        <v>9</v>
      </c>
      <c r="D113" s="6" t="s">
        <v>81</v>
      </c>
      <c r="E113" s="8"/>
      <c r="F113" s="14">
        <v>100</v>
      </c>
      <c r="G113" s="14">
        <v>169.86</v>
      </c>
      <c r="H113" s="7">
        <v>48019</v>
      </c>
      <c r="I113" s="8"/>
      <c r="J113" s="15"/>
      <c r="K113" s="15"/>
      <c r="L113" s="6" t="s">
        <v>82</v>
      </c>
      <c r="M113" s="16">
        <v>0.4</v>
      </c>
      <c r="N113" s="6" t="s">
        <v>83</v>
      </c>
      <c r="O113" s="13" t="s">
        <v>84</v>
      </c>
      <c r="P113" s="14"/>
      <c r="Q113" s="16"/>
      <c r="R113" s="9"/>
    </row>
    <row r="114" spans="1:18" x14ac:dyDescent="0.25">
      <c r="A114" s="2" t="s">
        <v>80</v>
      </c>
      <c r="B114" s="3">
        <v>46206</v>
      </c>
      <c r="C114" s="2" t="s">
        <v>14</v>
      </c>
      <c r="D114" s="2" t="s">
        <v>85</v>
      </c>
      <c r="E114" s="4"/>
      <c r="F114" s="10">
        <v>500</v>
      </c>
      <c r="G114" s="10">
        <v>587.5</v>
      </c>
      <c r="H114" s="3">
        <v>48019</v>
      </c>
      <c r="I114" s="4"/>
      <c r="J114" s="11"/>
      <c r="K114" s="11"/>
      <c r="L114" s="2" t="s">
        <v>82</v>
      </c>
      <c r="M114" s="12">
        <v>0.4</v>
      </c>
      <c r="N114" s="2" t="s">
        <v>83</v>
      </c>
      <c r="O114" s="13" t="s">
        <v>84</v>
      </c>
      <c r="P114" s="10"/>
      <c r="Q114" s="12"/>
      <c r="R114" s="5"/>
    </row>
    <row r="115" spans="1:18" x14ac:dyDescent="0.25">
      <c r="A115" s="6" t="s">
        <v>80</v>
      </c>
      <c r="B115" s="7">
        <v>46206</v>
      </c>
      <c r="C115" s="6" t="s">
        <v>17</v>
      </c>
      <c r="D115" s="6" t="s">
        <v>90</v>
      </c>
      <c r="E115" s="8"/>
      <c r="F115" s="14">
        <v>100</v>
      </c>
      <c r="G115" s="14">
        <v>45.56</v>
      </c>
      <c r="H115" s="7">
        <v>48019</v>
      </c>
      <c r="I115" s="8"/>
      <c r="J115" s="15"/>
      <c r="K115" s="15"/>
      <c r="L115" s="6" t="s">
        <v>82</v>
      </c>
      <c r="M115" s="16">
        <v>0.4</v>
      </c>
      <c r="N115" s="6" t="s">
        <v>83</v>
      </c>
      <c r="O115" s="13" t="s">
        <v>84</v>
      </c>
      <c r="P115" s="14"/>
      <c r="Q115" s="16"/>
      <c r="R115" s="9"/>
    </row>
    <row r="116" spans="1:18" x14ac:dyDescent="0.25">
      <c r="A116" s="2" t="s">
        <v>80</v>
      </c>
      <c r="B116" s="3">
        <v>46206</v>
      </c>
      <c r="C116" s="2" t="s">
        <v>20</v>
      </c>
      <c r="D116" s="2" t="s">
        <v>86</v>
      </c>
      <c r="E116" s="4"/>
      <c r="F116" s="10">
        <v>100</v>
      </c>
      <c r="G116" s="10">
        <v>54.5</v>
      </c>
      <c r="H116" s="3">
        <v>48019</v>
      </c>
      <c r="I116" s="4"/>
      <c r="J116" s="11"/>
      <c r="K116" s="11"/>
      <c r="L116" s="2" t="s">
        <v>82</v>
      </c>
      <c r="M116" s="12">
        <v>0.4</v>
      </c>
      <c r="N116" s="2" t="s">
        <v>83</v>
      </c>
      <c r="O116" s="13" t="s">
        <v>84</v>
      </c>
      <c r="P116" s="10"/>
      <c r="Q116" s="12"/>
      <c r="R116" s="5"/>
    </row>
    <row r="117" spans="1:18" x14ac:dyDescent="0.25">
      <c r="A117" s="6" t="s">
        <v>80</v>
      </c>
      <c r="B117" s="7">
        <v>46206</v>
      </c>
      <c r="C117" s="6" t="s">
        <v>23</v>
      </c>
      <c r="D117" s="6" t="s">
        <v>87</v>
      </c>
      <c r="E117" s="8"/>
      <c r="F117" s="14">
        <v>100</v>
      </c>
      <c r="G117" s="14">
        <v>53.6</v>
      </c>
      <c r="H117" s="7">
        <v>48019</v>
      </c>
      <c r="I117" s="8"/>
      <c r="J117" s="15"/>
      <c r="K117" s="15"/>
      <c r="L117" s="6" t="s">
        <v>82</v>
      </c>
      <c r="M117" s="16">
        <v>0.4</v>
      </c>
      <c r="N117" s="6" t="s">
        <v>83</v>
      </c>
      <c r="O117" s="13" t="s">
        <v>84</v>
      </c>
      <c r="P117" s="14"/>
      <c r="Q117" s="16"/>
      <c r="R117" s="9"/>
    </row>
    <row r="118" spans="1:18" x14ac:dyDescent="0.25">
      <c r="A118" s="2" t="s">
        <v>80</v>
      </c>
      <c r="B118" s="3">
        <v>46206</v>
      </c>
      <c r="C118" s="2" t="s">
        <v>26</v>
      </c>
      <c r="D118" s="2" t="s">
        <v>88</v>
      </c>
      <c r="E118" s="4"/>
      <c r="F118" s="10">
        <v>100</v>
      </c>
      <c r="G118" s="10">
        <v>41.43</v>
      </c>
      <c r="H118" s="3">
        <v>48019</v>
      </c>
      <c r="I118" s="4"/>
      <c r="J118" s="11"/>
      <c r="K118" s="11"/>
      <c r="L118" s="2" t="s">
        <v>82</v>
      </c>
      <c r="M118" s="12">
        <v>0.4</v>
      </c>
      <c r="N118" s="2" t="s">
        <v>83</v>
      </c>
      <c r="O118" s="13" t="s">
        <v>84</v>
      </c>
      <c r="P118" s="10"/>
      <c r="Q118" s="12"/>
      <c r="R118" s="5"/>
    </row>
    <row r="119" spans="1:18" x14ac:dyDescent="0.25">
      <c r="A119" s="6" t="s">
        <v>80</v>
      </c>
      <c r="B119" s="7">
        <v>46206</v>
      </c>
      <c r="C119" s="6" t="s">
        <v>29</v>
      </c>
      <c r="D119" s="6" t="s">
        <v>89</v>
      </c>
      <c r="E119" s="8"/>
      <c r="F119" s="14">
        <v>100</v>
      </c>
      <c r="G119" s="14">
        <v>68.25</v>
      </c>
      <c r="H119" s="7">
        <v>48019</v>
      </c>
      <c r="I119" s="8"/>
      <c r="J119" s="15"/>
      <c r="K119" s="15"/>
      <c r="L119" s="6" t="s">
        <v>82</v>
      </c>
      <c r="M119" s="16">
        <v>0.4</v>
      </c>
      <c r="N119" s="6" t="s">
        <v>83</v>
      </c>
      <c r="O119" s="13" t="s">
        <v>84</v>
      </c>
      <c r="P119" s="14"/>
      <c r="Q119" s="16"/>
      <c r="R119" s="9"/>
    </row>
    <row r="120" spans="1:18" x14ac:dyDescent="0.25">
      <c r="A120" s="2" t="s">
        <v>80</v>
      </c>
      <c r="B120" s="3">
        <v>46209</v>
      </c>
      <c r="C120" s="2" t="s">
        <v>9</v>
      </c>
      <c r="D120" s="2" t="s">
        <v>81</v>
      </c>
      <c r="E120" s="4"/>
      <c r="F120" s="10">
        <v>100</v>
      </c>
      <c r="G120" s="10">
        <v>169</v>
      </c>
      <c r="H120" s="3">
        <v>48019</v>
      </c>
      <c r="I120" s="4"/>
      <c r="J120" s="11"/>
      <c r="K120" s="11"/>
      <c r="L120" s="2" t="s">
        <v>82</v>
      </c>
      <c r="M120" s="12">
        <v>0.4</v>
      </c>
      <c r="N120" s="2" t="s">
        <v>83</v>
      </c>
      <c r="O120" s="13" t="s">
        <v>84</v>
      </c>
      <c r="P120" s="10"/>
      <c r="Q120" s="12"/>
      <c r="R120" s="5"/>
    </row>
    <row r="121" spans="1:18" x14ac:dyDescent="0.25">
      <c r="A121" s="6" t="s">
        <v>80</v>
      </c>
      <c r="B121" s="7">
        <v>46209</v>
      </c>
      <c r="C121" s="6" t="s">
        <v>14</v>
      </c>
      <c r="D121" s="6" t="s">
        <v>85</v>
      </c>
      <c r="E121" s="8"/>
      <c r="F121" s="14">
        <v>500</v>
      </c>
      <c r="G121" s="14">
        <v>595</v>
      </c>
      <c r="H121" s="7">
        <v>48019</v>
      </c>
      <c r="I121" s="8"/>
      <c r="J121" s="15"/>
      <c r="K121" s="15"/>
      <c r="L121" s="6" t="s">
        <v>82</v>
      </c>
      <c r="M121" s="16">
        <v>0.4</v>
      </c>
      <c r="N121" s="6" t="s">
        <v>83</v>
      </c>
      <c r="O121" s="13" t="s">
        <v>84</v>
      </c>
      <c r="P121" s="14"/>
      <c r="Q121" s="16"/>
      <c r="R121" s="9"/>
    </row>
    <row r="122" spans="1:18" x14ac:dyDescent="0.25">
      <c r="A122" s="2" t="s">
        <v>80</v>
      </c>
      <c r="B122" s="3">
        <v>46209</v>
      </c>
      <c r="C122" s="2" t="s">
        <v>17</v>
      </c>
      <c r="D122" s="2" t="s">
        <v>90</v>
      </c>
      <c r="E122" s="4"/>
      <c r="F122" s="10">
        <v>100</v>
      </c>
      <c r="G122" s="10">
        <v>45.22</v>
      </c>
      <c r="H122" s="3">
        <v>48019</v>
      </c>
      <c r="I122" s="4"/>
      <c r="J122" s="11"/>
      <c r="K122" s="11"/>
      <c r="L122" s="2" t="s">
        <v>82</v>
      </c>
      <c r="M122" s="12">
        <v>0.4</v>
      </c>
      <c r="N122" s="2" t="s">
        <v>83</v>
      </c>
      <c r="O122" s="13" t="s">
        <v>84</v>
      </c>
      <c r="P122" s="10"/>
      <c r="Q122" s="12"/>
      <c r="R122" s="5"/>
    </row>
    <row r="123" spans="1:18" x14ac:dyDescent="0.25">
      <c r="A123" s="6" t="s">
        <v>80</v>
      </c>
      <c r="B123" s="7">
        <v>46209</v>
      </c>
      <c r="C123" s="6" t="s">
        <v>20</v>
      </c>
      <c r="D123" s="6" t="s">
        <v>86</v>
      </c>
      <c r="E123" s="8"/>
      <c r="F123" s="14">
        <v>100</v>
      </c>
      <c r="G123" s="14">
        <v>53</v>
      </c>
      <c r="H123" s="7">
        <v>48019</v>
      </c>
      <c r="I123" s="8"/>
      <c r="J123" s="15"/>
      <c r="K123" s="15"/>
      <c r="L123" s="6" t="s">
        <v>82</v>
      </c>
      <c r="M123" s="16">
        <v>0.4</v>
      </c>
      <c r="N123" s="6" t="s">
        <v>83</v>
      </c>
      <c r="O123" s="13" t="s">
        <v>84</v>
      </c>
      <c r="P123" s="14"/>
      <c r="Q123" s="16"/>
      <c r="R123" s="9"/>
    </row>
    <row r="124" spans="1:18" x14ac:dyDescent="0.25">
      <c r="A124" s="2" t="s">
        <v>80</v>
      </c>
      <c r="B124" s="3">
        <v>46209</v>
      </c>
      <c r="C124" s="2" t="s">
        <v>23</v>
      </c>
      <c r="D124" s="2" t="s">
        <v>87</v>
      </c>
      <c r="E124" s="4"/>
      <c r="F124" s="10">
        <v>100</v>
      </c>
      <c r="G124" s="10">
        <v>53</v>
      </c>
      <c r="H124" s="3">
        <v>48019</v>
      </c>
      <c r="I124" s="4"/>
      <c r="J124" s="11"/>
      <c r="K124" s="11"/>
      <c r="L124" s="2" t="s">
        <v>82</v>
      </c>
      <c r="M124" s="12">
        <v>0.4</v>
      </c>
      <c r="N124" s="2" t="s">
        <v>83</v>
      </c>
      <c r="O124" s="13" t="s">
        <v>84</v>
      </c>
      <c r="P124" s="10"/>
      <c r="Q124" s="12"/>
      <c r="R124" s="5"/>
    </row>
    <row r="125" spans="1:18" x14ac:dyDescent="0.25">
      <c r="A125" s="6" t="s">
        <v>80</v>
      </c>
      <c r="B125" s="7">
        <v>46209</v>
      </c>
      <c r="C125" s="6" t="s">
        <v>26</v>
      </c>
      <c r="D125" s="6" t="s">
        <v>88</v>
      </c>
      <c r="E125" s="8"/>
      <c r="F125" s="14">
        <v>100</v>
      </c>
      <c r="G125" s="14">
        <v>41</v>
      </c>
      <c r="H125" s="7">
        <v>48019</v>
      </c>
      <c r="I125" s="8"/>
      <c r="J125" s="15"/>
      <c r="K125" s="15"/>
      <c r="L125" s="6" t="s">
        <v>82</v>
      </c>
      <c r="M125" s="16">
        <v>0.4</v>
      </c>
      <c r="N125" s="6" t="s">
        <v>83</v>
      </c>
      <c r="O125" s="13" t="s">
        <v>84</v>
      </c>
      <c r="P125" s="14"/>
      <c r="Q125" s="16"/>
      <c r="R125" s="9"/>
    </row>
    <row r="126" spans="1:18" x14ac:dyDescent="0.25">
      <c r="A126" s="2" t="s">
        <v>80</v>
      </c>
      <c r="B126" s="3">
        <v>46209</v>
      </c>
      <c r="C126" s="2" t="s">
        <v>29</v>
      </c>
      <c r="D126" s="2" t="s">
        <v>89</v>
      </c>
      <c r="E126" s="4"/>
      <c r="F126" s="10">
        <v>100</v>
      </c>
      <c r="G126" s="10">
        <v>69</v>
      </c>
      <c r="H126" s="3">
        <v>48019</v>
      </c>
      <c r="I126" s="4"/>
      <c r="J126" s="11"/>
      <c r="K126" s="11"/>
      <c r="L126" s="2" t="s">
        <v>82</v>
      </c>
      <c r="M126" s="12">
        <v>0.4</v>
      </c>
      <c r="N126" s="2" t="s">
        <v>83</v>
      </c>
      <c r="O126" s="13" t="s">
        <v>84</v>
      </c>
      <c r="P126" s="10"/>
      <c r="Q126" s="12"/>
      <c r="R126" s="5"/>
    </row>
    <row r="127" spans="1:18" x14ac:dyDescent="0.25">
      <c r="A127" s="6" t="s">
        <v>80</v>
      </c>
      <c r="B127" s="7">
        <v>46210</v>
      </c>
      <c r="C127" s="6" t="s">
        <v>9</v>
      </c>
      <c r="D127" s="6" t="s">
        <v>81</v>
      </c>
      <c r="E127" s="8"/>
      <c r="F127" s="14">
        <v>100</v>
      </c>
      <c r="G127" s="14">
        <v>171.57</v>
      </c>
      <c r="H127" s="7">
        <v>48019</v>
      </c>
      <c r="I127" s="8"/>
      <c r="J127" s="15"/>
      <c r="K127" s="15"/>
      <c r="L127" s="6" t="s">
        <v>82</v>
      </c>
      <c r="M127" s="16">
        <v>0.4</v>
      </c>
      <c r="N127" s="6" t="s">
        <v>83</v>
      </c>
      <c r="O127" s="13" t="s">
        <v>84</v>
      </c>
      <c r="P127" s="14"/>
      <c r="Q127" s="16"/>
      <c r="R127" s="9"/>
    </row>
    <row r="128" spans="1:18" x14ac:dyDescent="0.25">
      <c r="A128" s="2" t="s">
        <v>80</v>
      </c>
      <c r="B128" s="3">
        <v>46210</v>
      </c>
      <c r="C128" s="2" t="s">
        <v>14</v>
      </c>
      <c r="D128" s="2" t="s">
        <v>85</v>
      </c>
      <c r="E128" s="4"/>
      <c r="F128" s="10">
        <v>500</v>
      </c>
      <c r="G128" s="10">
        <v>597.5</v>
      </c>
      <c r="H128" s="3">
        <v>48019</v>
      </c>
      <c r="I128" s="4"/>
      <c r="J128" s="11"/>
      <c r="K128" s="11"/>
      <c r="L128" s="2" t="s">
        <v>82</v>
      </c>
      <c r="M128" s="12">
        <v>0.4</v>
      </c>
      <c r="N128" s="2" t="s">
        <v>83</v>
      </c>
      <c r="O128" s="13" t="s">
        <v>84</v>
      </c>
      <c r="P128" s="10"/>
      <c r="Q128" s="12"/>
      <c r="R128" s="5"/>
    </row>
    <row r="129" spans="1:18" x14ac:dyDescent="0.25">
      <c r="A129" s="6" t="s">
        <v>80</v>
      </c>
      <c r="B129" s="7">
        <v>46210</v>
      </c>
      <c r="C129" s="6" t="s">
        <v>17</v>
      </c>
      <c r="D129" s="6" t="s">
        <v>90</v>
      </c>
      <c r="E129" s="8"/>
      <c r="F129" s="14">
        <v>100</v>
      </c>
      <c r="G129" s="14">
        <v>45.11</v>
      </c>
      <c r="H129" s="7">
        <v>48019</v>
      </c>
      <c r="I129" s="8"/>
      <c r="J129" s="15"/>
      <c r="K129" s="15"/>
      <c r="L129" s="6" t="s">
        <v>82</v>
      </c>
      <c r="M129" s="16">
        <v>0.4</v>
      </c>
      <c r="N129" s="6" t="s">
        <v>83</v>
      </c>
      <c r="O129" s="13" t="s">
        <v>84</v>
      </c>
      <c r="P129" s="14"/>
      <c r="Q129" s="16"/>
      <c r="R129" s="9"/>
    </row>
    <row r="130" spans="1:18" x14ac:dyDescent="0.25">
      <c r="A130" s="2" t="s">
        <v>80</v>
      </c>
      <c r="B130" s="3">
        <v>46210</v>
      </c>
      <c r="C130" s="2" t="s">
        <v>20</v>
      </c>
      <c r="D130" s="2" t="s">
        <v>86</v>
      </c>
      <c r="E130" s="4"/>
      <c r="F130" s="10">
        <v>100</v>
      </c>
      <c r="G130" s="10">
        <v>54</v>
      </c>
      <c r="H130" s="3">
        <v>48019</v>
      </c>
      <c r="I130" s="4"/>
      <c r="J130" s="11"/>
      <c r="K130" s="11"/>
      <c r="L130" s="2" t="s">
        <v>82</v>
      </c>
      <c r="M130" s="12">
        <v>0.4</v>
      </c>
      <c r="N130" s="2" t="s">
        <v>83</v>
      </c>
      <c r="O130" s="13" t="s">
        <v>84</v>
      </c>
      <c r="P130" s="10"/>
      <c r="Q130" s="12"/>
      <c r="R130" s="5"/>
    </row>
    <row r="131" spans="1:18" x14ac:dyDescent="0.25">
      <c r="A131" s="6" t="s">
        <v>80</v>
      </c>
      <c r="B131" s="7">
        <v>46210</v>
      </c>
      <c r="C131" s="6" t="s">
        <v>23</v>
      </c>
      <c r="D131" s="6" t="s">
        <v>87</v>
      </c>
      <c r="E131" s="8"/>
      <c r="F131" s="14">
        <v>100</v>
      </c>
      <c r="G131" s="14">
        <v>54</v>
      </c>
      <c r="H131" s="7">
        <v>48019</v>
      </c>
      <c r="I131" s="8"/>
      <c r="J131" s="15"/>
      <c r="K131" s="15"/>
      <c r="L131" s="6" t="s">
        <v>82</v>
      </c>
      <c r="M131" s="16">
        <v>0.4</v>
      </c>
      <c r="N131" s="6" t="s">
        <v>83</v>
      </c>
      <c r="O131" s="13" t="s">
        <v>84</v>
      </c>
      <c r="P131" s="14"/>
      <c r="Q131" s="16"/>
      <c r="R131" s="9"/>
    </row>
    <row r="132" spans="1:18" x14ac:dyDescent="0.25">
      <c r="A132" s="2" t="s">
        <v>80</v>
      </c>
      <c r="B132" s="3">
        <v>46210</v>
      </c>
      <c r="C132" s="2" t="s">
        <v>26</v>
      </c>
      <c r="D132" s="2" t="s">
        <v>88</v>
      </c>
      <c r="E132" s="4"/>
      <c r="F132" s="10">
        <v>100</v>
      </c>
      <c r="G132" s="10">
        <v>42</v>
      </c>
      <c r="H132" s="3">
        <v>48019</v>
      </c>
      <c r="I132" s="4"/>
      <c r="J132" s="11"/>
      <c r="K132" s="11"/>
      <c r="L132" s="2" t="s">
        <v>82</v>
      </c>
      <c r="M132" s="12">
        <v>0.4</v>
      </c>
      <c r="N132" s="2" t="s">
        <v>83</v>
      </c>
      <c r="O132" s="13" t="s">
        <v>84</v>
      </c>
      <c r="P132" s="10"/>
      <c r="Q132" s="12"/>
      <c r="R132" s="5"/>
    </row>
    <row r="133" spans="1:18" x14ac:dyDescent="0.25">
      <c r="A133" s="6" t="s">
        <v>80</v>
      </c>
      <c r="B133" s="7">
        <v>46210</v>
      </c>
      <c r="C133" s="6" t="s">
        <v>29</v>
      </c>
      <c r="D133" s="6" t="s">
        <v>89</v>
      </c>
      <c r="E133" s="8"/>
      <c r="F133" s="14">
        <v>100</v>
      </c>
      <c r="G133" s="14">
        <v>70.43</v>
      </c>
      <c r="H133" s="7">
        <v>48019</v>
      </c>
      <c r="I133" s="8"/>
      <c r="J133" s="15"/>
      <c r="K133" s="15"/>
      <c r="L133" s="6" t="s">
        <v>82</v>
      </c>
      <c r="M133" s="16">
        <v>0.4</v>
      </c>
      <c r="N133" s="6" t="s">
        <v>83</v>
      </c>
      <c r="O133" s="13" t="s">
        <v>84</v>
      </c>
      <c r="P133" s="14"/>
      <c r="Q133" s="16"/>
      <c r="R133" s="9"/>
    </row>
    <row r="134" spans="1:18" x14ac:dyDescent="0.25">
      <c r="A134" s="2" t="s">
        <v>80</v>
      </c>
      <c r="B134" s="3">
        <v>46211</v>
      </c>
      <c r="C134" s="2" t="s">
        <v>9</v>
      </c>
      <c r="D134" s="2" t="s">
        <v>81</v>
      </c>
      <c r="E134" s="4"/>
      <c r="F134" s="10">
        <v>100</v>
      </c>
      <c r="G134" s="10">
        <v>174.14</v>
      </c>
      <c r="H134" s="3">
        <v>48019</v>
      </c>
      <c r="I134" s="4"/>
      <c r="J134" s="11"/>
      <c r="K134" s="11"/>
      <c r="L134" s="2" t="s">
        <v>82</v>
      </c>
      <c r="M134" s="12">
        <v>0.4</v>
      </c>
      <c r="N134" s="2" t="s">
        <v>83</v>
      </c>
      <c r="O134" s="13" t="s">
        <v>84</v>
      </c>
      <c r="P134" s="10"/>
      <c r="Q134" s="12"/>
      <c r="R134" s="5"/>
    </row>
    <row r="135" spans="1:18" x14ac:dyDescent="0.25">
      <c r="A135" s="6" t="s">
        <v>80</v>
      </c>
      <c r="B135" s="7">
        <v>46211</v>
      </c>
      <c r="C135" s="6" t="s">
        <v>14</v>
      </c>
      <c r="D135" s="6" t="s">
        <v>85</v>
      </c>
      <c r="E135" s="8"/>
      <c r="F135" s="14">
        <v>500</v>
      </c>
      <c r="G135" s="14">
        <v>600</v>
      </c>
      <c r="H135" s="7">
        <v>48019</v>
      </c>
      <c r="I135" s="8"/>
      <c r="J135" s="15"/>
      <c r="K135" s="15"/>
      <c r="L135" s="6" t="s">
        <v>82</v>
      </c>
      <c r="M135" s="16">
        <v>0.4</v>
      </c>
      <c r="N135" s="6" t="s">
        <v>83</v>
      </c>
      <c r="O135" s="13" t="s">
        <v>84</v>
      </c>
      <c r="P135" s="14"/>
      <c r="Q135" s="16"/>
      <c r="R135" s="9"/>
    </row>
    <row r="136" spans="1:18" x14ac:dyDescent="0.25">
      <c r="A136" s="2" t="s">
        <v>80</v>
      </c>
      <c r="B136" s="3">
        <v>46211</v>
      </c>
      <c r="C136" s="2" t="s">
        <v>17</v>
      </c>
      <c r="D136" s="2" t="s">
        <v>90</v>
      </c>
      <c r="E136" s="4"/>
      <c r="F136" s="10">
        <v>100</v>
      </c>
      <c r="G136" s="10">
        <v>45</v>
      </c>
      <c r="H136" s="3">
        <v>48019</v>
      </c>
      <c r="I136" s="4"/>
      <c r="J136" s="11"/>
      <c r="K136" s="11"/>
      <c r="L136" s="2" t="s">
        <v>82</v>
      </c>
      <c r="M136" s="12">
        <v>0.4</v>
      </c>
      <c r="N136" s="2" t="s">
        <v>83</v>
      </c>
      <c r="O136" s="13" t="s">
        <v>84</v>
      </c>
      <c r="P136" s="10"/>
      <c r="Q136" s="12"/>
      <c r="R136" s="5"/>
    </row>
    <row r="137" spans="1:18" x14ac:dyDescent="0.25">
      <c r="A137" s="6" t="s">
        <v>80</v>
      </c>
      <c r="B137" s="7">
        <v>46211</v>
      </c>
      <c r="C137" s="6" t="s">
        <v>20</v>
      </c>
      <c r="D137" s="6" t="s">
        <v>86</v>
      </c>
      <c r="E137" s="8"/>
      <c r="F137" s="14">
        <v>100</v>
      </c>
      <c r="G137" s="14">
        <v>55</v>
      </c>
      <c r="H137" s="7">
        <v>48019</v>
      </c>
      <c r="I137" s="8"/>
      <c r="J137" s="15"/>
      <c r="K137" s="15"/>
      <c r="L137" s="6" t="s">
        <v>82</v>
      </c>
      <c r="M137" s="16">
        <v>0.4</v>
      </c>
      <c r="N137" s="6" t="s">
        <v>83</v>
      </c>
      <c r="O137" s="13" t="s">
        <v>84</v>
      </c>
      <c r="P137" s="14"/>
      <c r="Q137" s="16"/>
      <c r="R137" s="9"/>
    </row>
    <row r="138" spans="1:18" x14ac:dyDescent="0.25">
      <c r="A138" s="2" t="s">
        <v>80</v>
      </c>
      <c r="B138" s="3">
        <v>46211</v>
      </c>
      <c r="C138" s="2" t="s">
        <v>23</v>
      </c>
      <c r="D138" s="2" t="s">
        <v>87</v>
      </c>
      <c r="E138" s="4"/>
      <c r="F138" s="10">
        <v>100</v>
      </c>
      <c r="G138" s="10">
        <v>55</v>
      </c>
      <c r="H138" s="3">
        <v>48019</v>
      </c>
      <c r="I138" s="4"/>
      <c r="J138" s="11"/>
      <c r="K138" s="11"/>
      <c r="L138" s="2" t="s">
        <v>82</v>
      </c>
      <c r="M138" s="12">
        <v>0.4</v>
      </c>
      <c r="N138" s="2" t="s">
        <v>83</v>
      </c>
      <c r="O138" s="13" t="s">
        <v>84</v>
      </c>
      <c r="P138" s="10"/>
      <c r="Q138" s="12"/>
      <c r="R138" s="5"/>
    </row>
    <row r="139" spans="1:18" x14ac:dyDescent="0.25">
      <c r="A139" s="6" t="s">
        <v>80</v>
      </c>
      <c r="B139" s="7">
        <v>46211</v>
      </c>
      <c r="C139" s="6" t="s">
        <v>26</v>
      </c>
      <c r="D139" s="6" t="s">
        <v>88</v>
      </c>
      <c r="E139" s="8"/>
      <c r="F139" s="14">
        <v>100</v>
      </c>
      <c r="G139" s="14">
        <v>43</v>
      </c>
      <c r="H139" s="7">
        <v>48019</v>
      </c>
      <c r="I139" s="8"/>
      <c r="J139" s="15"/>
      <c r="K139" s="15"/>
      <c r="L139" s="6" t="s">
        <v>82</v>
      </c>
      <c r="M139" s="16">
        <v>0.4</v>
      </c>
      <c r="N139" s="6" t="s">
        <v>83</v>
      </c>
      <c r="O139" s="13" t="s">
        <v>84</v>
      </c>
      <c r="P139" s="14"/>
      <c r="Q139" s="16"/>
      <c r="R139" s="9"/>
    </row>
    <row r="140" spans="1:18" x14ac:dyDescent="0.25">
      <c r="A140" s="2" t="s">
        <v>80</v>
      </c>
      <c r="B140" s="3">
        <v>46211</v>
      </c>
      <c r="C140" s="2" t="s">
        <v>29</v>
      </c>
      <c r="D140" s="2" t="s">
        <v>89</v>
      </c>
      <c r="E140" s="4"/>
      <c r="F140" s="10">
        <v>100</v>
      </c>
      <c r="G140" s="10">
        <v>71.86</v>
      </c>
      <c r="H140" s="3">
        <v>48019</v>
      </c>
      <c r="I140" s="4"/>
      <c r="J140" s="11"/>
      <c r="K140" s="11"/>
      <c r="L140" s="2" t="s">
        <v>82</v>
      </c>
      <c r="M140" s="12">
        <v>0.4</v>
      </c>
      <c r="N140" s="2" t="s">
        <v>83</v>
      </c>
      <c r="O140" s="13" t="s">
        <v>84</v>
      </c>
      <c r="P140" s="10"/>
      <c r="Q140" s="12"/>
      <c r="R140" s="5"/>
    </row>
    <row r="141" spans="1:18" x14ac:dyDescent="0.25">
      <c r="A141" s="6" t="s">
        <v>80</v>
      </c>
      <c r="B141" s="7">
        <v>46212</v>
      </c>
      <c r="C141" s="6" t="s">
        <v>9</v>
      </c>
      <c r="D141" s="6" t="s">
        <v>81</v>
      </c>
      <c r="E141" s="8"/>
      <c r="F141" s="14">
        <v>100</v>
      </c>
      <c r="G141" s="14">
        <v>176.71</v>
      </c>
      <c r="H141" s="7">
        <v>48019</v>
      </c>
      <c r="I141" s="8"/>
      <c r="J141" s="15"/>
      <c r="K141" s="15"/>
      <c r="L141" s="6" t="s">
        <v>82</v>
      </c>
      <c r="M141" s="16">
        <v>0.4</v>
      </c>
      <c r="N141" s="6" t="s">
        <v>83</v>
      </c>
      <c r="O141" s="13" t="s">
        <v>84</v>
      </c>
      <c r="P141" s="14"/>
      <c r="Q141" s="16"/>
      <c r="R141" s="9"/>
    </row>
    <row r="142" spans="1:18" x14ac:dyDescent="0.25">
      <c r="A142" s="2" t="s">
        <v>80</v>
      </c>
      <c r="B142" s="3">
        <v>46212</v>
      </c>
      <c r="C142" s="2" t="s">
        <v>14</v>
      </c>
      <c r="D142" s="2" t="s">
        <v>85</v>
      </c>
      <c r="E142" s="4"/>
      <c r="F142" s="10">
        <v>500</v>
      </c>
      <c r="G142" s="10">
        <v>587.5</v>
      </c>
      <c r="H142" s="3">
        <v>48019</v>
      </c>
      <c r="I142" s="4"/>
      <c r="J142" s="11"/>
      <c r="K142" s="11"/>
      <c r="L142" s="2" t="s">
        <v>82</v>
      </c>
      <c r="M142" s="12">
        <v>0.4</v>
      </c>
      <c r="N142" s="2" t="s">
        <v>83</v>
      </c>
      <c r="O142" s="13" t="s">
        <v>84</v>
      </c>
      <c r="P142" s="10"/>
      <c r="Q142" s="12"/>
      <c r="R142" s="5"/>
    </row>
    <row r="143" spans="1:18" x14ac:dyDescent="0.25">
      <c r="A143" s="6" t="s">
        <v>80</v>
      </c>
      <c r="B143" s="7">
        <v>46212</v>
      </c>
      <c r="C143" s="6" t="s">
        <v>17</v>
      </c>
      <c r="D143" s="6" t="s">
        <v>90</v>
      </c>
      <c r="E143" s="8"/>
      <c r="F143" s="14">
        <v>100</v>
      </c>
      <c r="G143" s="14">
        <v>47</v>
      </c>
      <c r="H143" s="7">
        <v>48019</v>
      </c>
      <c r="I143" s="8"/>
      <c r="J143" s="15"/>
      <c r="K143" s="15"/>
      <c r="L143" s="6" t="s">
        <v>82</v>
      </c>
      <c r="M143" s="16">
        <v>0.4</v>
      </c>
      <c r="N143" s="6" t="s">
        <v>83</v>
      </c>
      <c r="O143" s="13" t="s">
        <v>84</v>
      </c>
      <c r="P143" s="14"/>
      <c r="Q143" s="16"/>
      <c r="R143" s="9"/>
    </row>
    <row r="144" spans="1:18" x14ac:dyDescent="0.25">
      <c r="A144" s="2" t="s">
        <v>80</v>
      </c>
      <c r="B144" s="3">
        <v>46212</v>
      </c>
      <c r="C144" s="2" t="s">
        <v>20</v>
      </c>
      <c r="D144" s="2" t="s">
        <v>86</v>
      </c>
      <c r="E144" s="4"/>
      <c r="F144" s="10">
        <v>100</v>
      </c>
      <c r="G144" s="10">
        <v>56</v>
      </c>
      <c r="H144" s="3">
        <v>48019</v>
      </c>
      <c r="I144" s="4"/>
      <c r="J144" s="11"/>
      <c r="K144" s="11"/>
      <c r="L144" s="2" t="s">
        <v>82</v>
      </c>
      <c r="M144" s="12">
        <v>0.4</v>
      </c>
      <c r="N144" s="2" t="s">
        <v>83</v>
      </c>
      <c r="O144" s="13" t="s">
        <v>84</v>
      </c>
      <c r="P144" s="10"/>
      <c r="Q144" s="12"/>
      <c r="R144" s="5"/>
    </row>
    <row r="145" spans="1:18" x14ac:dyDescent="0.25">
      <c r="A145" s="6" t="s">
        <v>80</v>
      </c>
      <c r="B145" s="7">
        <v>46212</v>
      </c>
      <c r="C145" s="6" t="s">
        <v>23</v>
      </c>
      <c r="D145" s="6" t="s">
        <v>87</v>
      </c>
      <c r="E145" s="8"/>
      <c r="F145" s="14">
        <v>100</v>
      </c>
      <c r="G145" s="14">
        <v>56</v>
      </c>
      <c r="H145" s="7">
        <v>48019</v>
      </c>
      <c r="I145" s="8"/>
      <c r="J145" s="15"/>
      <c r="K145" s="15"/>
      <c r="L145" s="6" t="s">
        <v>82</v>
      </c>
      <c r="M145" s="16">
        <v>0.4</v>
      </c>
      <c r="N145" s="6" t="s">
        <v>83</v>
      </c>
      <c r="O145" s="13" t="s">
        <v>84</v>
      </c>
      <c r="P145" s="14"/>
      <c r="Q145" s="16"/>
      <c r="R145" s="9"/>
    </row>
    <row r="146" spans="1:18" x14ac:dyDescent="0.25">
      <c r="A146" s="2" t="s">
        <v>80</v>
      </c>
      <c r="B146" s="3">
        <v>46212</v>
      </c>
      <c r="C146" s="2" t="s">
        <v>26</v>
      </c>
      <c r="D146" s="2" t="s">
        <v>88</v>
      </c>
      <c r="E146" s="4"/>
      <c r="F146" s="10">
        <v>100</v>
      </c>
      <c r="G146" s="10">
        <v>44</v>
      </c>
      <c r="H146" s="3">
        <v>48019</v>
      </c>
      <c r="I146" s="4"/>
      <c r="J146" s="11"/>
      <c r="K146" s="11"/>
      <c r="L146" s="2" t="s">
        <v>82</v>
      </c>
      <c r="M146" s="12">
        <v>0.4</v>
      </c>
      <c r="N146" s="2" t="s">
        <v>83</v>
      </c>
      <c r="O146" s="13" t="s">
        <v>84</v>
      </c>
      <c r="P146" s="10"/>
      <c r="Q146" s="12"/>
      <c r="R146" s="5"/>
    </row>
    <row r="147" spans="1:18" x14ac:dyDescent="0.25">
      <c r="A147" s="6" t="s">
        <v>80</v>
      </c>
      <c r="B147" s="7">
        <v>46212</v>
      </c>
      <c r="C147" s="6" t="s">
        <v>29</v>
      </c>
      <c r="D147" s="6" t="s">
        <v>89</v>
      </c>
      <c r="E147" s="8"/>
      <c r="F147" s="14">
        <v>100</v>
      </c>
      <c r="G147" s="14">
        <v>73.29</v>
      </c>
      <c r="H147" s="7">
        <v>48019</v>
      </c>
      <c r="I147" s="8"/>
      <c r="J147" s="15"/>
      <c r="K147" s="15"/>
      <c r="L147" s="6" t="s">
        <v>82</v>
      </c>
      <c r="M147" s="16">
        <v>0.4</v>
      </c>
      <c r="N147" s="6" t="s">
        <v>83</v>
      </c>
      <c r="O147" s="13" t="s">
        <v>84</v>
      </c>
      <c r="P147" s="14"/>
      <c r="Q147" s="16"/>
      <c r="R147" s="9"/>
    </row>
    <row r="148" spans="1:18" x14ac:dyDescent="0.25">
      <c r="A148" s="2" t="s">
        <v>80</v>
      </c>
      <c r="B148" s="3">
        <v>46213</v>
      </c>
      <c r="C148" s="2" t="s">
        <v>9</v>
      </c>
      <c r="D148" s="2" t="s">
        <v>81</v>
      </c>
      <c r="E148" s="4"/>
      <c r="F148" s="10">
        <v>100</v>
      </c>
      <c r="G148" s="10">
        <v>179.29</v>
      </c>
      <c r="H148" s="3">
        <v>48019</v>
      </c>
      <c r="I148" s="4"/>
      <c r="J148" s="11"/>
      <c r="K148" s="11"/>
      <c r="L148" s="2" t="s">
        <v>82</v>
      </c>
      <c r="M148" s="12">
        <v>0.4</v>
      </c>
      <c r="N148" s="2" t="s">
        <v>83</v>
      </c>
      <c r="O148" s="13" t="s">
        <v>84</v>
      </c>
      <c r="P148" s="10"/>
      <c r="Q148" s="12"/>
      <c r="R148" s="5"/>
    </row>
    <row r="149" spans="1:18" x14ac:dyDescent="0.25">
      <c r="A149" s="6" t="s">
        <v>80</v>
      </c>
      <c r="B149" s="7">
        <v>46213</v>
      </c>
      <c r="C149" s="6" t="s">
        <v>14</v>
      </c>
      <c r="D149" s="6" t="s">
        <v>85</v>
      </c>
      <c r="E149" s="8"/>
      <c r="F149" s="14">
        <v>500</v>
      </c>
      <c r="G149" s="14">
        <v>575</v>
      </c>
      <c r="H149" s="7">
        <v>48019</v>
      </c>
      <c r="I149" s="8"/>
      <c r="J149" s="15"/>
      <c r="K149" s="15"/>
      <c r="L149" s="6" t="s">
        <v>82</v>
      </c>
      <c r="M149" s="16">
        <v>0.4</v>
      </c>
      <c r="N149" s="6" t="s">
        <v>83</v>
      </c>
      <c r="O149" s="13" t="s">
        <v>84</v>
      </c>
      <c r="P149" s="14"/>
      <c r="Q149" s="16"/>
      <c r="R149" s="9"/>
    </row>
    <row r="150" spans="1:18" x14ac:dyDescent="0.25">
      <c r="A150" s="2" t="s">
        <v>80</v>
      </c>
      <c r="B150" s="3">
        <v>46213</v>
      </c>
      <c r="C150" s="2" t="s">
        <v>17</v>
      </c>
      <c r="D150" s="2" t="s">
        <v>90</v>
      </c>
      <c r="E150" s="4"/>
      <c r="F150" s="10">
        <v>100</v>
      </c>
      <c r="G150" s="10">
        <v>49</v>
      </c>
      <c r="H150" s="3">
        <v>48019</v>
      </c>
      <c r="I150" s="4"/>
      <c r="J150" s="11"/>
      <c r="K150" s="11"/>
      <c r="L150" s="2" t="s">
        <v>82</v>
      </c>
      <c r="M150" s="12">
        <v>0.4</v>
      </c>
      <c r="N150" s="2" t="s">
        <v>83</v>
      </c>
      <c r="O150" s="13" t="s">
        <v>84</v>
      </c>
      <c r="P150" s="10"/>
      <c r="Q150" s="12"/>
      <c r="R150" s="5"/>
    </row>
    <row r="151" spans="1:18" x14ac:dyDescent="0.25">
      <c r="A151" s="6" t="s">
        <v>80</v>
      </c>
      <c r="B151" s="7">
        <v>46213</v>
      </c>
      <c r="C151" s="6" t="s">
        <v>20</v>
      </c>
      <c r="D151" s="6" t="s">
        <v>86</v>
      </c>
      <c r="E151" s="8"/>
      <c r="F151" s="14">
        <v>100</v>
      </c>
      <c r="G151" s="14">
        <v>57</v>
      </c>
      <c r="H151" s="7">
        <v>48019</v>
      </c>
      <c r="I151" s="8"/>
      <c r="J151" s="15"/>
      <c r="K151" s="15"/>
      <c r="L151" s="6" t="s">
        <v>82</v>
      </c>
      <c r="M151" s="16">
        <v>0.4</v>
      </c>
      <c r="N151" s="6" t="s">
        <v>83</v>
      </c>
      <c r="O151" s="13" t="s">
        <v>84</v>
      </c>
      <c r="P151" s="14"/>
      <c r="Q151" s="16"/>
      <c r="R151" s="9"/>
    </row>
    <row r="152" spans="1:18" x14ac:dyDescent="0.25">
      <c r="A152" s="2" t="s">
        <v>80</v>
      </c>
      <c r="B152" s="3">
        <v>46213</v>
      </c>
      <c r="C152" s="2" t="s">
        <v>23</v>
      </c>
      <c r="D152" s="2" t="s">
        <v>87</v>
      </c>
      <c r="E152" s="4"/>
      <c r="F152" s="10">
        <v>100</v>
      </c>
      <c r="G152" s="10">
        <v>57</v>
      </c>
      <c r="H152" s="3">
        <v>48019</v>
      </c>
      <c r="I152" s="4"/>
      <c r="J152" s="11"/>
      <c r="K152" s="11"/>
      <c r="L152" s="2" t="s">
        <v>82</v>
      </c>
      <c r="M152" s="12">
        <v>0.4</v>
      </c>
      <c r="N152" s="2" t="s">
        <v>83</v>
      </c>
      <c r="O152" s="13" t="s">
        <v>84</v>
      </c>
      <c r="P152" s="10"/>
      <c r="Q152" s="12"/>
      <c r="R152" s="5"/>
    </row>
    <row r="153" spans="1:18" x14ac:dyDescent="0.25">
      <c r="A153" s="6" t="s">
        <v>80</v>
      </c>
      <c r="B153" s="7">
        <v>46213</v>
      </c>
      <c r="C153" s="6" t="s">
        <v>26</v>
      </c>
      <c r="D153" s="6" t="s">
        <v>88</v>
      </c>
      <c r="E153" s="8"/>
      <c r="F153" s="14">
        <v>100</v>
      </c>
      <c r="G153" s="14">
        <v>45</v>
      </c>
      <c r="H153" s="7">
        <v>48019</v>
      </c>
      <c r="I153" s="8"/>
      <c r="J153" s="15"/>
      <c r="K153" s="15"/>
      <c r="L153" s="6" t="s">
        <v>82</v>
      </c>
      <c r="M153" s="16">
        <v>0.4</v>
      </c>
      <c r="N153" s="6" t="s">
        <v>83</v>
      </c>
      <c r="O153" s="13" t="s">
        <v>84</v>
      </c>
      <c r="P153" s="14"/>
      <c r="Q153" s="16"/>
      <c r="R153" s="9"/>
    </row>
    <row r="154" spans="1:18" x14ac:dyDescent="0.25">
      <c r="A154" s="2" t="s">
        <v>80</v>
      </c>
      <c r="B154" s="3">
        <v>46213</v>
      </c>
      <c r="C154" s="2" t="s">
        <v>29</v>
      </c>
      <c r="D154" s="2" t="s">
        <v>89</v>
      </c>
      <c r="E154" s="4"/>
      <c r="F154" s="10">
        <v>100</v>
      </c>
      <c r="G154" s="10">
        <v>74.71</v>
      </c>
      <c r="H154" s="3">
        <v>48019</v>
      </c>
      <c r="I154" s="4"/>
      <c r="J154" s="11"/>
      <c r="K154" s="11"/>
      <c r="L154" s="2" t="s">
        <v>82</v>
      </c>
      <c r="M154" s="12">
        <v>0.4</v>
      </c>
      <c r="N154" s="2" t="s">
        <v>83</v>
      </c>
      <c r="O154" s="13" t="s">
        <v>84</v>
      </c>
      <c r="P154" s="10"/>
      <c r="Q154" s="12"/>
      <c r="R154" s="5"/>
    </row>
    <row r="155" spans="1:18" x14ac:dyDescent="0.25">
      <c r="A155" s="6" t="s">
        <v>80</v>
      </c>
      <c r="B155" s="7">
        <v>46216</v>
      </c>
      <c r="C155" s="6" t="s">
        <v>9</v>
      </c>
      <c r="D155" s="6" t="s">
        <v>81</v>
      </c>
      <c r="E155" s="8"/>
      <c r="F155" s="14">
        <v>100</v>
      </c>
      <c r="G155" s="14">
        <v>187</v>
      </c>
      <c r="H155" s="7">
        <v>48019</v>
      </c>
      <c r="I155" s="8"/>
      <c r="J155" s="15"/>
      <c r="K155" s="15"/>
      <c r="L155" s="6" t="s">
        <v>82</v>
      </c>
      <c r="M155" s="16">
        <v>0.4</v>
      </c>
      <c r="N155" s="6" t="s">
        <v>83</v>
      </c>
      <c r="O155" s="13" t="s">
        <v>84</v>
      </c>
      <c r="P155" s="14"/>
      <c r="Q155" s="16"/>
      <c r="R155" s="9"/>
    </row>
    <row r="156" spans="1:18" x14ac:dyDescent="0.25">
      <c r="A156" s="2" t="s">
        <v>80</v>
      </c>
      <c r="B156" s="3">
        <v>46216</v>
      </c>
      <c r="C156" s="2" t="s">
        <v>14</v>
      </c>
      <c r="D156" s="2" t="s">
        <v>85</v>
      </c>
      <c r="E156" s="4"/>
      <c r="F156" s="10">
        <v>500</v>
      </c>
      <c r="G156" s="10">
        <v>620</v>
      </c>
      <c r="H156" s="3">
        <v>48019</v>
      </c>
      <c r="I156" s="4"/>
      <c r="J156" s="11"/>
      <c r="K156" s="11"/>
      <c r="L156" s="2" t="s">
        <v>82</v>
      </c>
      <c r="M156" s="12">
        <v>0.4</v>
      </c>
      <c r="N156" s="2" t="s">
        <v>83</v>
      </c>
      <c r="O156" s="13" t="s">
        <v>84</v>
      </c>
      <c r="P156" s="10"/>
      <c r="Q156" s="12"/>
      <c r="R156" s="5"/>
    </row>
    <row r="157" spans="1:18" x14ac:dyDescent="0.25">
      <c r="A157" s="6" t="s">
        <v>80</v>
      </c>
      <c r="B157" s="7">
        <v>46216</v>
      </c>
      <c r="C157" s="6" t="s">
        <v>17</v>
      </c>
      <c r="D157" s="6" t="s">
        <v>90</v>
      </c>
      <c r="E157" s="8"/>
      <c r="F157" s="14">
        <v>100</v>
      </c>
      <c r="G157" s="14">
        <v>55</v>
      </c>
      <c r="H157" s="7">
        <v>48019</v>
      </c>
      <c r="I157" s="8"/>
      <c r="J157" s="15"/>
      <c r="K157" s="15"/>
      <c r="L157" s="6" t="s">
        <v>82</v>
      </c>
      <c r="M157" s="16">
        <v>0.4</v>
      </c>
      <c r="N157" s="6" t="s">
        <v>83</v>
      </c>
      <c r="O157" s="13" t="s">
        <v>84</v>
      </c>
      <c r="P157" s="14"/>
      <c r="Q157" s="16"/>
      <c r="R157" s="9"/>
    </row>
    <row r="158" spans="1:18" x14ac:dyDescent="0.25">
      <c r="A158" s="2" t="s">
        <v>80</v>
      </c>
      <c r="B158" s="3">
        <v>46216</v>
      </c>
      <c r="C158" s="2" t="s">
        <v>20</v>
      </c>
      <c r="D158" s="2" t="s">
        <v>86</v>
      </c>
      <c r="E158" s="4"/>
      <c r="F158" s="10">
        <v>100</v>
      </c>
      <c r="G158" s="10">
        <v>60</v>
      </c>
      <c r="H158" s="3">
        <v>48019</v>
      </c>
      <c r="I158" s="4"/>
      <c r="J158" s="11"/>
      <c r="K158" s="11"/>
      <c r="L158" s="2" t="s">
        <v>82</v>
      </c>
      <c r="M158" s="12">
        <v>0.4</v>
      </c>
      <c r="N158" s="2" t="s">
        <v>83</v>
      </c>
      <c r="O158" s="13" t="s">
        <v>84</v>
      </c>
      <c r="P158" s="10"/>
      <c r="Q158" s="12"/>
      <c r="R158" s="5"/>
    </row>
    <row r="159" spans="1:18" x14ac:dyDescent="0.25">
      <c r="A159" s="6" t="s">
        <v>80</v>
      </c>
      <c r="B159" s="7">
        <v>46216</v>
      </c>
      <c r="C159" s="6" t="s">
        <v>23</v>
      </c>
      <c r="D159" s="6" t="s">
        <v>87</v>
      </c>
      <c r="E159" s="8"/>
      <c r="F159" s="14">
        <v>100</v>
      </c>
      <c r="G159" s="14">
        <v>60</v>
      </c>
      <c r="H159" s="7">
        <v>48019</v>
      </c>
      <c r="I159" s="8"/>
      <c r="J159" s="15"/>
      <c r="K159" s="15"/>
      <c r="L159" s="6" t="s">
        <v>82</v>
      </c>
      <c r="M159" s="16">
        <v>0.4</v>
      </c>
      <c r="N159" s="6" t="s">
        <v>83</v>
      </c>
      <c r="O159" s="13" t="s">
        <v>84</v>
      </c>
      <c r="P159" s="14"/>
      <c r="Q159" s="16"/>
      <c r="R159" s="9"/>
    </row>
    <row r="160" spans="1:18" x14ac:dyDescent="0.25">
      <c r="A160" s="2" t="s">
        <v>80</v>
      </c>
      <c r="B160" s="3">
        <v>46216</v>
      </c>
      <c r="C160" s="2" t="s">
        <v>26</v>
      </c>
      <c r="D160" s="2" t="s">
        <v>88</v>
      </c>
      <c r="E160" s="4"/>
      <c r="F160" s="10">
        <v>100</v>
      </c>
      <c r="G160" s="10">
        <v>48</v>
      </c>
      <c r="H160" s="3">
        <v>48019</v>
      </c>
      <c r="I160" s="4"/>
      <c r="J160" s="11"/>
      <c r="K160" s="11"/>
      <c r="L160" s="2" t="s">
        <v>82</v>
      </c>
      <c r="M160" s="12">
        <v>0.4</v>
      </c>
      <c r="N160" s="2" t="s">
        <v>83</v>
      </c>
      <c r="O160" s="13" t="s">
        <v>84</v>
      </c>
      <c r="P160" s="10"/>
      <c r="Q160" s="12"/>
      <c r="R160" s="5"/>
    </row>
    <row r="161" spans="1:18" x14ac:dyDescent="0.25">
      <c r="A161" s="6" t="s">
        <v>80</v>
      </c>
      <c r="B161" s="7">
        <v>46216</v>
      </c>
      <c r="C161" s="6" t="s">
        <v>29</v>
      </c>
      <c r="D161" s="6" t="s">
        <v>89</v>
      </c>
      <c r="E161" s="8"/>
      <c r="F161" s="14">
        <v>100</v>
      </c>
      <c r="G161" s="14">
        <v>79</v>
      </c>
      <c r="H161" s="7">
        <v>48019</v>
      </c>
      <c r="I161" s="8"/>
      <c r="J161" s="15"/>
      <c r="K161" s="15"/>
      <c r="L161" s="6" t="s">
        <v>82</v>
      </c>
      <c r="M161" s="16">
        <v>0.4</v>
      </c>
      <c r="N161" s="6" t="s">
        <v>83</v>
      </c>
      <c r="O161" s="13" t="s">
        <v>84</v>
      </c>
      <c r="P161" s="14"/>
      <c r="Q161" s="16"/>
      <c r="R161" s="9"/>
    </row>
    <row r="162" spans="1:18" x14ac:dyDescent="0.25">
      <c r="A162" s="2" t="s">
        <v>80</v>
      </c>
      <c r="B162" s="3">
        <v>46217</v>
      </c>
      <c r="C162" s="2" t="s">
        <v>9</v>
      </c>
      <c r="D162" s="2" t="s">
        <v>81</v>
      </c>
      <c r="E162" s="4"/>
      <c r="F162" s="10">
        <v>100</v>
      </c>
      <c r="G162" s="10">
        <v>187.14</v>
      </c>
      <c r="H162" s="3">
        <v>48019</v>
      </c>
      <c r="I162" s="4"/>
      <c r="J162" s="11"/>
      <c r="K162" s="11"/>
      <c r="L162" s="2" t="s">
        <v>82</v>
      </c>
      <c r="M162" s="12">
        <v>0.4</v>
      </c>
      <c r="N162" s="2" t="s">
        <v>83</v>
      </c>
      <c r="O162" s="13" t="s">
        <v>84</v>
      </c>
      <c r="P162" s="10"/>
      <c r="Q162" s="12"/>
      <c r="R162" s="5"/>
    </row>
    <row r="163" spans="1:18" x14ac:dyDescent="0.25">
      <c r="A163" s="6" t="s">
        <v>80</v>
      </c>
      <c r="B163" s="7">
        <v>46217</v>
      </c>
      <c r="C163" s="6" t="s">
        <v>14</v>
      </c>
      <c r="D163" s="6" t="s">
        <v>85</v>
      </c>
      <c r="E163" s="8"/>
      <c r="F163" s="14">
        <v>500</v>
      </c>
      <c r="G163" s="14">
        <v>635</v>
      </c>
      <c r="H163" s="7">
        <v>48019</v>
      </c>
      <c r="I163" s="8"/>
      <c r="J163" s="15"/>
      <c r="K163" s="15"/>
      <c r="L163" s="6" t="s">
        <v>82</v>
      </c>
      <c r="M163" s="16">
        <v>0.4</v>
      </c>
      <c r="N163" s="6" t="s">
        <v>83</v>
      </c>
      <c r="O163" s="13" t="s">
        <v>84</v>
      </c>
      <c r="P163" s="14"/>
      <c r="Q163" s="16"/>
      <c r="R163" s="9"/>
    </row>
    <row r="164" spans="1:18" x14ac:dyDescent="0.25">
      <c r="A164" s="2" t="s">
        <v>80</v>
      </c>
      <c r="B164" s="3">
        <v>46217</v>
      </c>
      <c r="C164" s="2" t="s">
        <v>17</v>
      </c>
      <c r="D164" s="2" t="s">
        <v>90</v>
      </c>
      <c r="E164" s="4"/>
      <c r="F164" s="10">
        <v>100</v>
      </c>
      <c r="G164" s="10">
        <v>57</v>
      </c>
      <c r="H164" s="3">
        <v>48019</v>
      </c>
      <c r="I164" s="4"/>
      <c r="J164" s="11"/>
      <c r="K164" s="11"/>
      <c r="L164" s="2" t="s">
        <v>82</v>
      </c>
      <c r="M164" s="12">
        <v>0.4</v>
      </c>
      <c r="N164" s="2" t="s">
        <v>83</v>
      </c>
      <c r="O164" s="13" t="s">
        <v>84</v>
      </c>
      <c r="P164" s="10"/>
      <c r="Q164" s="12"/>
      <c r="R164" s="5"/>
    </row>
    <row r="165" spans="1:18" x14ac:dyDescent="0.25">
      <c r="A165" s="6" t="s">
        <v>80</v>
      </c>
      <c r="B165" s="7">
        <v>46217</v>
      </c>
      <c r="C165" s="6" t="s">
        <v>20</v>
      </c>
      <c r="D165" s="6" t="s">
        <v>86</v>
      </c>
      <c r="E165" s="8"/>
      <c r="F165" s="14">
        <v>100</v>
      </c>
      <c r="G165" s="14">
        <v>59.25</v>
      </c>
      <c r="H165" s="7">
        <v>48019</v>
      </c>
      <c r="I165" s="8"/>
      <c r="J165" s="15"/>
      <c r="K165" s="15"/>
      <c r="L165" s="6" t="s">
        <v>82</v>
      </c>
      <c r="M165" s="16">
        <v>0.4</v>
      </c>
      <c r="N165" s="6" t="s">
        <v>83</v>
      </c>
      <c r="O165" s="13" t="s">
        <v>84</v>
      </c>
      <c r="P165" s="14"/>
      <c r="Q165" s="16"/>
      <c r="R165" s="9"/>
    </row>
    <row r="166" spans="1:18" x14ac:dyDescent="0.25">
      <c r="A166" s="2" t="s">
        <v>80</v>
      </c>
      <c r="B166" s="3">
        <v>46217</v>
      </c>
      <c r="C166" s="2" t="s">
        <v>23</v>
      </c>
      <c r="D166" s="2" t="s">
        <v>87</v>
      </c>
      <c r="E166" s="4"/>
      <c r="F166" s="10">
        <v>100</v>
      </c>
      <c r="G166" s="10">
        <v>59.25</v>
      </c>
      <c r="H166" s="3">
        <v>48019</v>
      </c>
      <c r="I166" s="4"/>
      <c r="J166" s="11"/>
      <c r="K166" s="11"/>
      <c r="L166" s="2" t="s">
        <v>82</v>
      </c>
      <c r="M166" s="12">
        <v>0.4</v>
      </c>
      <c r="N166" s="2" t="s">
        <v>83</v>
      </c>
      <c r="O166" s="13" t="s">
        <v>84</v>
      </c>
      <c r="P166" s="10"/>
      <c r="Q166" s="12"/>
      <c r="R166" s="5"/>
    </row>
    <row r="167" spans="1:18" x14ac:dyDescent="0.25">
      <c r="A167" s="6" t="s">
        <v>80</v>
      </c>
      <c r="B167" s="7">
        <v>46217</v>
      </c>
      <c r="C167" s="6" t="s">
        <v>26</v>
      </c>
      <c r="D167" s="6" t="s">
        <v>88</v>
      </c>
      <c r="E167" s="8"/>
      <c r="F167" s="14">
        <v>100</v>
      </c>
      <c r="G167" s="14">
        <v>47.75</v>
      </c>
      <c r="H167" s="7">
        <v>48019</v>
      </c>
      <c r="I167" s="8"/>
      <c r="J167" s="15"/>
      <c r="K167" s="15"/>
      <c r="L167" s="6" t="s">
        <v>82</v>
      </c>
      <c r="M167" s="16">
        <v>0.4</v>
      </c>
      <c r="N167" s="6" t="s">
        <v>83</v>
      </c>
      <c r="O167" s="13" t="s">
        <v>84</v>
      </c>
      <c r="P167" s="14"/>
      <c r="Q167" s="16"/>
      <c r="R167" s="9"/>
    </row>
    <row r="168" spans="1:18" x14ac:dyDescent="0.25">
      <c r="A168" s="2" t="s">
        <v>80</v>
      </c>
      <c r="B168" s="3">
        <v>46217</v>
      </c>
      <c r="C168" s="2" t="s">
        <v>29</v>
      </c>
      <c r="D168" s="2" t="s">
        <v>89</v>
      </c>
      <c r="E168" s="4"/>
      <c r="F168" s="10">
        <v>100</v>
      </c>
      <c r="G168" s="10">
        <v>78.25</v>
      </c>
      <c r="H168" s="3">
        <v>48019</v>
      </c>
      <c r="I168" s="4"/>
      <c r="J168" s="11"/>
      <c r="K168" s="11"/>
      <c r="L168" s="2" t="s">
        <v>82</v>
      </c>
      <c r="M168" s="12">
        <v>0.4</v>
      </c>
      <c r="N168" s="2" t="s">
        <v>83</v>
      </c>
      <c r="O168" s="13" t="s">
        <v>84</v>
      </c>
      <c r="P168" s="10"/>
      <c r="Q168" s="12"/>
      <c r="R168" s="5"/>
    </row>
    <row r="169" spans="1:18" x14ac:dyDescent="0.25">
      <c r="A169" s="6" t="s">
        <v>80</v>
      </c>
      <c r="B169" s="7">
        <v>46218</v>
      </c>
      <c r="C169" s="6" t="s">
        <v>9</v>
      </c>
      <c r="D169" s="6" t="s">
        <v>81</v>
      </c>
      <c r="E169" s="8"/>
      <c r="F169" s="14">
        <v>100</v>
      </c>
      <c r="G169" s="14">
        <v>187.29</v>
      </c>
      <c r="H169" s="7">
        <v>48019</v>
      </c>
      <c r="I169" s="8"/>
      <c r="J169" s="15"/>
      <c r="K169" s="15"/>
      <c r="L169" s="6" t="s">
        <v>82</v>
      </c>
      <c r="M169" s="16">
        <v>0.4</v>
      </c>
      <c r="N169" s="6" t="s">
        <v>83</v>
      </c>
      <c r="O169" s="13" t="s">
        <v>84</v>
      </c>
      <c r="P169" s="14"/>
      <c r="Q169" s="16"/>
      <c r="R169" s="9"/>
    </row>
    <row r="170" spans="1:18" x14ac:dyDescent="0.25">
      <c r="A170" s="2" t="s">
        <v>80</v>
      </c>
      <c r="B170" s="3">
        <v>46218</v>
      </c>
      <c r="C170" s="2" t="s">
        <v>14</v>
      </c>
      <c r="D170" s="2" t="s">
        <v>85</v>
      </c>
      <c r="E170" s="4"/>
      <c r="F170" s="10">
        <v>500</v>
      </c>
      <c r="G170" s="10">
        <v>650</v>
      </c>
      <c r="H170" s="3">
        <v>48019</v>
      </c>
      <c r="I170" s="4"/>
      <c r="J170" s="11"/>
      <c r="K170" s="11"/>
      <c r="L170" s="2" t="s">
        <v>82</v>
      </c>
      <c r="M170" s="12">
        <v>0.4</v>
      </c>
      <c r="N170" s="2" t="s">
        <v>83</v>
      </c>
      <c r="O170" s="13" t="s">
        <v>84</v>
      </c>
      <c r="P170" s="10"/>
      <c r="Q170" s="12"/>
      <c r="R170" s="5"/>
    </row>
    <row r="171" spans="1:18" x14ac:dyDescent="0.25">
      <c r="A171" s="6" t="s">
        <v>80</v>
      </c>
      <c r="B171" s="7">
        <v>46218</v>
      </c>
      <c r="C171" s="6" t="s">
        <v>17</v>
      </c>
      <c r="D171" s="6" t="s">
        <v>90</v>
      </c>
      <c r="E171" s="8"/>
      <c r="F171" s="14">
        <v>100</v>
      </c>
      <c r="G171" s="14">
        <v>57.33</v>
      </c>
      <c r="H171" s="7">
        <v>48019</v>
      </c>
      <c r="I171" s="8"/>
      <c r="J171" s="15"/>
      <c r="K171" s="15"/>
      <c r="L171" s="6" t="s">
        <v>82</v>
      </c>
      <c r="M171" s="16">
        <v>0.4</v>
      </c>
      <c r="N171" s="6" t="s">
        <v>83</v>
      </c>
      <c r="O171" s="13" t="s">
        <v>84</v>
      </c>
      <c r="P171" s="14"/>
      <c r="Q171" s="16"/>
      <c r="R171" s="9"/>
    </row>
    <row r="172" spans="1:18" x14ac:dyDescent="0.25">
      <c r="A172" s="2" t="s">
        <v>80</v>
      </c>
      <c r="B172" s="3">
        <v>46218</v>
      </c>
      <c r="C172" s="2" t="s">
        <v>20</v>
      </c>
      <c r="D172" s="2" t="s">
        <v>86</v>
      </c>
      <c r="E172" s="4"/>
      <c r="F172" s="10">
        <v>100</v>
      </c>
      <c r="G172" s="10">
        <v>58.5</v>
      </c>
      <c r="H172" s="3">
        <v>48019</v>
      </c>
      <c r="I172" s="4"/>
      <c r="J172" s="11"/>
      <c r="K172" s="11"/>
      <c r="L172" s="2" t="s">
        <v>82</v>
      </c>
      <c r="M172" s="12">
        <v>0.4</v>
      </c>
      <c r="N172" s="2" t="s">
        <v>83</v>
      </c>
      <c r="O172" s="13" t="s">
        <v>84</v>
      </c>
      <c r="P172" s="10"/>
      <c r="Q172" s="12"/>
      <c r="R172" s="5"/>
    </row>
    <row r="173" spans="1:18" x14ac:dyDescent="0.25">
      <c r="A173" s="6" t="s">
        <v>80</v>
      </c>
      <c r="B173" s="7">
        <v>46218</v>
      </c>
      <c r="C173" s="6" t="s">
        <v>23</v>
      </c>
      <c r="D173" s="6" t="s">
        <v>87</v>
      </c>
      <c r="E173" s="8"/>
      <c r="F173" s="14">
        <v>100</v>
      </c>
      <c r="G173" s="14">
        <v>58.5</v>
      </c>
      <c r="H173" s="7">
        <v>48019</v>
      </c>
      <c r="I173" s="8"/>
      <c r="J173" s="15"/>
      <c r="K173" s="15"/>
      <c r="L173" s="6" t="s">
        <v>82</v>
      </c>
      <c r="M173" s="16">
        <v>0.4</v>
      </c>
      <c r="N173" s="6" t="s">
        <v>83</v>
      </c>
      <c r="O173" s="13" t="s">
        <v>84</v>
      </c>
      <c r="P173" s="14"/>
      <c r="Q173" s="16"/>
      <c r="R173" s="9"/>
    </row>
    <row r="174" spans="1:18" x14ac:dyDescent="0.25">
      <c r="A174" s="2" t="s">
        <v>80</v>
      </c>
      <c r="B174" s="3">
        <v>46218</v>
      </c>
      <c r="C174" s="2" t="s">
        <v>26</v>
      </c>
      <c r="D174" s="2" t="s">
        <v>88</v>
      </c>
      <c r="E174" s="4"/>
      <c r="F174" s="10">
        <v>100</v>
      </c>
      <c r="G174" s="10">
        <v>47.5</v>
      </c>
      <c r="H174" s="3">
        <v>48019</v>
      </c>
      <c r="I174" s="4"/>
      <c r="J174" s="11"/>
      <c r="K174" s="11"/>
      <c r="L174" s="2" t="s">
        <v>82</v>
      </c>
      <c r="M174" s="12">
        <v>0.4</v>
      </c>
      <c r="N174" s="2" t="s">
        <v>83</v>
      </c>
      <c r="O174" s="13" t="s">
        <v>84</v>
      </c>
      <c r="P174" s="10"/>
      <c r="Q174" s="12"/>
      <c r="R174" s="5"/>
    </row>
    <row r="175" spans="1:18" x14ac:dyDescent="0.25">
      <c r="A175" s="6" t="s">
        <v>80</v>
      </c>
      <c r="B175" s="7">
        <v>46218</v>
      </c>
      <c r="C175" s="6" t="s">
        <v>29</v>
      </c>
      <c r="D175" s="6" t="s">
        <v>89</v>
      </c>
      <c r="E175" s="8"/>
      <c r="F175" s="14">
        <v>100</v>
      </c>
      <c r="G175" s="14">
        <v>77.5</v>
      </c>
      <c r="H175" s="7">
        <v>48019</v>
      </c>
      <c r="I175" s="8"/>
      <c r="J175" s="15"/>
      <c r="K175" s="15"/>
      <c r="L175" s="6" t="s">
        <v>82</v>
      </c>
      <c r="M175" s="16">
        <v>0.4</v>
      </c>
      <c r="N175" s="6" t="s">
        <v>83</v>
      </c>
      <c r="O175" s="13" t="s">
        <v>84</v>
      </c>
      <c r="P175" s="14"/>
      <c r="Q175" s="16"/>
      <c r="R175" s="9"/>
    </row>
    <row r="176" spans="1:18" x14ac:dyDescent="0.25">
      <c r="A176" s="2" t="s">
        <v>80</v>
      </c>
      <c r="B176" s="3">
        <v>46219</v>
      </c>
      <c r="C176" s="2" t="s">
        <v>9</v>
      </c>
      <c r="D176" s="2" t="s">
        <v>81</v>
      </c>
      <c r="E176" s="4"/>
      <c r="F176" s="10">
        <v>100</v>
      </c>
      <c r="G176" s="10">
        <v>187.43</v>
      </c>
      <c r="H176" s="3">
        <v>48019</v>
      </c>
      <c r="I176" s="4"/>
      <c r="J176" s="11"/>
      <c r="K176" s="11"/>
      <c r="L176" s="2" t="s">
        <v>82</v>
      </c>
      <c r="M176" s="12">
        <v>0.4</v>
      </c>
      <c r="N176" s="2" t="s">
        <v>83</v>
      </c>
      <c r="O176" s="13" t="s">
        <v>84</v>
      </c>
      <c r="P176" s="10"/>
      <c r="Q176" s="12"/>
      <c r="R176" s="5"/>
    </row>
    <row r="177" spans="1:18" x14ac:dyDescent="0.25">
      <c r="A177" s="6" t="s">
        <v>80</v>
      </c>
      <c r="B177" s="7">
        <v>46219</v>
      </c>
      <c r="C177" s="6" t="s">
        <v>14</v>
      </c>
      <c r="D177" s="6" t="s">
        <v>85</v>
      </c>
      <c r="E177" s="8"/>
      <c r="F177" s="14">
        <v>500</v>
      </c>
      <c r="G177" s="14">
        <v>665</v>
      </c>
      <c r="H177" s="7">
        <v>48019</v>
      </c>
      <c r="I177" s="8"/>
      <c r="J177" s="15"/>
      <c r="K177" s="15"/>
      <c r="L177" s="6" t="s">
        <v>82</v>
      </c>
      <c r="M177" s="16">
        <v>0.4</v>
      </c>
      <c r="N177" s="6" t="s">
        <v>83</v>
      </c>
      <c r="O177" s="13" t="s">
        <v>84</v>
      </c>
      <c r="P177" s="14"/>
      <c r="Q177" s="16"/>
      <c r="R177" s="9"/>
    </row>
    <row r="178" spans="1:18" x14ac:dyDescent="0.25">
      <c r="A178" s="2" t="s">
        <v>80</v>
      </c>
      <c r="B178" s="3">
        <v>46219</v>
      </c>
      <c r="C178" s="2" t="s">
        <v>17</v>
      </c>
      <c r="D178" s="2" t="s">
        <v>90</v>
      </c>
      <c r="E178" s="4"/>
      <c r="F178" s="10">
        <v>100</v>
      </c>
      <c r="G178" s="10">
        <v>57.67</v>
      </c>
      <c r="H178" s="3">
        <v>48019</v>
      </c>
      <c r="I178" s="4"/>
      <c r="J178" s="11"/>
      <c r="K178" s="11"/>
      <c r="L178" s="2" t="s">
        <v>82</v>
      </c>
      <c r="M178" s="12">
        <v>0.4</v>
      </c>
      <c r="N178" s="2" t="s">
        <v>83</v>
      </c>
      <c r="O178" s="13" t="s">
        <v>84</v>
      </c>
      <c r="P178" s="10"/>
      <c r="Q178" s="12"/>
      <c r="R178" s="5"/>
    </row>
    <row r="179" spans="1:18" x14ac:dyDescent="0.25">
      <c r="A179" s="6" t="s">
        <v>80</v>
      </c>
      <c r="B179" s="7">
        <v>46219</v>
      </c>
      <c r="C179" s="6" t="s">
        <v>20</v>
      </c>
      <c r="D179" s="6" t="s">
        <v>86</v>
      </c>
      <c r="E179" s="8"/>
      <c r="F179" s="14">
        <v>100</v>
      </c>
      <c r="G179" s="14">
        <v>57.75</v>
      </c>
      <c r="H179" s="7">
        <v>48019</v>
      </c>
      <c r="I179" s="8"/>
      <c r="J179" s="15"/>
      <c r="K179" s="15"/>
      <c r="L179" s="6" t="s">
        <v>82</v>
      </c>
      <c r="M179" s="16">
        <v>0.4</v>
      </c>
      <c r="N179" s="6" t="s">
        <v>83</v>
      </c>
      <c r="O179" s="13" t="s">
        <v>84</v>
      </c>
      <c r="P179" s="14"/>
      <c r="Q179" s="16"/>
      <c r="R179" s="9"/>
    </row>
    <row r="180" spans="1:18" x14ac:dyDescent="0.25">
      <c r="A180" s="2" t="s">
        <v>80</v>
      </c>
      <c r="B180" s="3">
        <v>46219</v>
      </c>
      <c r="C180" s="2" t="s">
        <v>23</v>
      </c>
      <c r="D180" s="2" t="s">
        <v>87</v>
      </c>
      <c r="E180" s="4"/>
      <c r="F180" s="10">
        <v>100</v>
      </c>
      <c r="G180" s="10">
        <v>57.75</v>
      </c>
      <c r="H180" s="3">
        <v>48019</v>
      </c>
      <c r="I180" s="4"/>
      <c r="J180" s="11"/>
      <c r="K180" s="11"/>
      <c r="L180" s="2" t="s">
        <v>82</v>
      </c>
      <c r="M180" s="12">
        <v>0.4</v>
      </c>
      <c r="N180" s="2" t="s">
        <v>83</v>
      </c>
      <c r="O180" s="13" t="s">
        <v>84</v>
      </c>
      <c r="P180" s="10"/>
      <c r="Q180" s="12"/>
      <c r="R180" s="5"/>
    </row>
    <row r="181" spans="1:18" x14ac:dyDescent="0.25">
      <c r="A181" s="6" t="s">
        <v>80</v>
      </c>
      <c r="B181" s="7">
        <v>46219</v>
      </c>
      <c r="C181" s="6" t="s">
        <v>26</v>
      </c>
      <c r="D181" s="6" t="s">
        <v>88</v>
      </c>
      <c r="E181" s="8"/>
      <c r="F181" s="14">
        <v>100</v>
      </c>
      <c r="G181" s="14">
        <v>47.25</v>
      </c>
      <c r="H181" s="7">
        <v>48019</v>
      </c>
      <c r="I181" s="8"/>
      <c r="J181" s="15"/>
      <c r="K181" s="15"/>
      <c r="L181" s="6" t="s">
        <v>82</v>
      </c>
      <c r="M181" s="16">
        <v>0.4</v>
      </c>
      <c r="N181" s="6" t="s">
        <v>83</v>
      </c>
      <c r="O181" s="13" t="s">
        <v>84</v>
      </c>
      <c r="P181" s="14"/>
      <c r="Q181" s="16"/>
      <c r="R181" s="9"/>
    </row>
    <row r="182" spans="1:18" x14ac:dyDescent="0.25">
      <c r="A182" s="2" t="s">
        <v>80</v>
      </c>
      <c r="B182" s="3">
        <v>46219</v>
      </c>
      <c r="C182" s="2" t="s">
        <v>29</v>
      </c>
      <c r="D182" s="2" t="s">
        <v>89</v>
      </c>
      <c r="E182" s="4"/>
      <c r="F182" s="10">
        <v>100</v>
      </c>
      <c r="G182" s="10">
        <v>76.75</v>
      </c>
      <c r="H182" s="3">
        <v>48019</v>
      </c>
      <c r="I182" s="4"/>
      <c r="J182" s="11"/>
      <c r="K182" s="11"/>
      <c r="L182" s="2" t="s">
        <v>82</v>
      </c>
      <c r="M182" s="12">
        <v>0.4</v>
      </c>
      <c r="N182" s="2" t="s">
        <v>83</v>
      </c>
      <c r="O182" s="13" t="s">
        <v>84</v>
      </c>
      <c r="P182" s="10"/>
      <c r="Q182" s="12"/>
      <c r="R182" s="5"/>
    </row>
    <row r="183" spans="1:18" x14ac:dyDescent="0.25">
      <c r="A183" s="6" t="s">
        <v>80</v>
      </c>
      <c r="B183" s="7">
        <v>46220</v>
      </c>
      <c r="C183" s="6" t="s">
        <v>9</v>
      </c>
      <c r="D183" s="6" t="s">
        <v>81</v>
      </c>
      <c r="E183" s="8"/>
      <c r="F183" s="14">
        <v>100</v>
      </c>
      <c r="G183" s="14">
        <v>187.57</v>
      </c>
      <c r="H183" s="7">
        <v>48019</v>
      </c>
      <c r="I183" s="8"/>
      <c r="J183" s="15"/>
      <c r="K183" s="15"/>
      <c r="L183" s="6" t="s">
        <v>82</v>
      </c>
      <c r="M183" s="16">
        <v>0.4</v>
      </c>
      <c r="N183" s="6" t="s">
        <v>83</v>
      </c>
      <c r="O183" s="13" t="s">
        <v>84</v>
      </c>
      <c r="P183" s="14"/>
      <c r="Q183" s="16"/>
      <c r="R183" s="9"/>
    </row>
    <row r="184" spans="1:18" x14ac:dyDescent="0.25">
      <c r="A184" s="2" t="s">
        <v>80</v>
      </c>
      <c r="B184" s="3">
        <v>46220</v>
      </c>
      <c r="C184" s="2" t="s">
        <v>14</v>
      </c>
      <c r="D184" s="2" t="s">
        <v>85</v>
      </c>
      <c r="E184" s="4"/>
      <c r="F184" s="10">
        <v>500</v>
      </c>
      <c r="G184" s="10">
        <v>680</v>
      </c>
      <c r="H184" s="3">
        <v>48019</v>
      </c>
      <c r="I184" s="4"/>
      <c r="J184" s="11"/>
      <c r="K184" s="11"/>
      <c r="L184" s="2" t="s">
        <v>82</v>
      </c>
      <c r="M184" s="12">
        <v>0.4</v>
      </c>
      <c r="N184" s="2" t="s">
        <v>83</v>
      </c>
      <c r="O184" s="13" t="s">
        <v>84</v>
      </c>
      <c r="P184" s="10"/>
      <c r="Q184" s="12"/>
      <c r="R184" s="5"/>
    </row>
    <row r="185" spans="1:18" x14ac:dyDescent="0.25">
      <c r="A185" s="6" t="s">
        <v>80</v>
      </c>
      <c r="B185" s="7">
        <v>46220</v>
      </c>
      <c r="C185" s="6" t="s">
        <v>17</v>
      </c>
      <c r="D185" s="6" t="s">
        <v>90</v>
      </c>
      <c r="E185" s="8"/>
      <c r="F185" s="14">
        <v>100</v>
      </c>
      <c r="G185" s="14">
        <v>58</v>
      </c>
      <c r="H185" s="7">
        <v>48019</v>
      </c>
      <c r="I185" s="8"/>
      <c r="J185" s="15"/>
      <c r="K185" s="15"/>
      <c r="L185" s="6" t="s">
        <v>82</v>
      </c>
      <c r="M185" s="16">
        <v>0.4</v>
      </c>
      <c r="N185" s="6" t="s">
        <v>83</v>
      </c>
      <c r="O185" s="13" t="s">
        <v>84</v>
      </c>
      <c r="P185" s="14"/>
      <c r="Q185" s="16"/>
      <c r="R185" s="9"/>
    </row>
    <row r="186" spans="1:18" x14ac:dyDescent="0.25">
      <c r="A186" s="2" t="s">
        <v>80</v>
      </c>
      <c r="B186" s="3">
        <v>46220</v>
      </c>
      <c r="C186" s="2" t="s">
        <v>20</v>
      </c>
      <c r="D186" s="2" t="s">
        <v>86</v>
      </c>
      <c r="E186" s="4"/>
      <c r="F186" s="10">
        <v>100</v>
      </c>
      <c r="G186" s="10">
        <v>57</v>
      </c>
      <c r="H186" s="3">
        <v>48019</v>
      </c>
      <c r="I186" s="4"/>
      <c r="J186" s="11"/>
      <c r="K186" s="11"/>
      <c r="L186" s="2" t="s">
        <v>82</v>
      </c>
      <c r="M186" s="12">
        <v>0.4</v>
      </c>
      <c r="N186" s="2" t="s">
        <v>83</v>
      </c>
      <c r="O186" s="13" t="s">
        <v>84</v>
      </c>
      <c r="P186" s="10"/>
      <c r="Q186" s="12"/>
      <c r="R186" s="5"/>
    </row>
    <row r="187" spans="1:18" x14ac:dyDescent="0.25">
      <c r="A187" s="6" t="s">
        <v>80</v>
      </c>
      <c r="B187" s="7">
        <v>46220</v>
      </c>
      <c r="C187" s="6" t="s">
        <v>23</v>
      </c>
      <c r="D187" s="6" t="s">
        <v>87</v>
      </c>
      <c r="E187" s="8"/>
      <c r="F187" s="14">
        <v>100</v>
      </c>
      <c r="G187" s="14">
        <v>57</v>
      </c>
      <c r="H187" s="7">
        <v>48019</v>
      </c>
      <c r="I187" s="8"/>
      <c r="J187" s="15"/>
      <c r="K187" s="15"/>
      <c r="L187" s="6" t="s">
        <v>82</v>
      </c>
      <c r="M187" s="16">
        <v>0.4</v>
      </c>
      <c r="N187" s="6" t="s">
        <v>83</v>
      </c>
      <c r="O187" s="13" t="s">
        <v>84</v>
      </c>
      <c r="P187" s="14"/>
      <c r="Q187" s="16"/>
      <c r="R187" s="9"/>
    </row>
    <row r="188" spans="1:18" x14ac:dyDescent="0.25">
      <c r="A188" s="2" t="s">
        <v>80</v>
      </c>
      <c r="B188" s="3">
        <v>46220</v>
      </c>
      <c r="C188" s="2" t="s">
        <v>26</v>
      </c>
      <c r="D188" s="2" t="s">
        <v>88</v>
      </c>
      <c r="E188" s="4"/>
      <c r="F188" s="10">
        <v>100</v>
      </c>
      <c r="G188" s="10">
        <v>47</v>
      </c>
      <c r="H188" s="3">
        <v>48019</v>
      </c>
      <c r="I188" s="4"/>
      <c r="J188" s="11"/>
      <c r="K188" s="11"/>
      <c r="L188" s="2" t="s">
        <v>82</v>
      </c>
      <c r="M188" s="12">
        <v>0.4</v>
      </c>
      <c r="N188" s="2" t="s">
        <v>83</v>
      </c>
      <c r="O188" s="13" t="s">
        <v>84</v>
      </c>
      <c r="P188" s="10"/>
      <c r="Q188" s="12"/>
      <c r="R188" s="5"/>
    </row>
    <row r="189" spans="1:18" x14ac:dyDescent="0.25">
      <c r="A189" s="6" t="s">
        <v>80</v>
      </c>
      <c r="B189" s="7">
        <v>46220</v>
      </c>
      <c r="C189" s="6" t="s">
        <v>29</v>
      </c>
      <c r="D189" s="6" t="s">
        <v>89</v>
      </c>
      <c r="E189" s="8"/>
      <c r="F189" s="14">
        <v>100</v>
      </c>
      <c r="G189" s="14">
        <v>76</v>
      </c>
      <c r="H189" s="7">
        <v>48019</v>
      </c>
      <c r="I189" s="8"/>
      <c r="J189" s="15"/>
      <c r="K189" s="15"/>
      <c r="L189" s="6" t="s">
        <v>82</v>
      </c>
      <c r="M189" s="16">
        <v>0.4</v>
      </c>
      <c r="N189" s="6" t="s">
        <v>83</v>
      </c>
      <c r="O189" s="13" t="s">
        <v>84</v>
      </c>
      <c r="P189" s="14"/>
      <c r="Q189" s="16"/>
      <c r="R189" s="9"/>
    </row>
    <row r="190" spans="1:18" x14ac:dyDescent="0.25">
      <c r="A190" s="2" t="s">
        <v>80</v>
      </c>
      <c r="B190" s="3">
        <v>46223</v>
      </c>
      <c r="C190" s="2" t="s">
        <v>9</v>
      </c>
      <c r="D190" s="2" t="s">
        <v>81</v>
      </c>
      <c r="E190" s="4"/>
      <c r="F190" s="10">
        <v>100</v>
      </c>
      <c r="G190" s="10">
        <v>188</v>
      </c>
      <c r="H190" s="3">
        <v>48019</v>
      </c>
      <c r="I190" s="4"/>
      <c r="J190" s="11"/>
      <c r="K190" s="11"/>
      <c r="L190" s="2" t="s">
        <v>82</v>
      </c>
      <c r="M190" s="12">
        <v>0.4</v>
      </c>
      <c r="N190" s="2" t="s">
        <v>83</v>
      </c>
      <c r="O190" s="13" t="s">
        <v>84</v>
      </c>
      <c r="P190" s="10"/>
      <c r="Q190" s="12"/>
      <c r="R190" s="5"/>
    </row>
    <row r="191" spans="1:18" x14ac:dyDescent="0.25">
      <c r="A191" s="6" t="s">
        <v>80</v>
      </c>
      <c r="B191" s="7">
        <v>46223</v>
      </c>
      <c r="C191" s="6" t="s">
        <v>14</v>
      </c>
      <c r="D191" s="6" t="s">
        <v>85</v>
      </c>
      <c r="E191" s="8"/>
      <c r="F191" s="14">
        <v>500</v>
      </c>
      <c r="G191" s="14">
        <v>687.5</v>
      </c>
      <c r="H191" s="7">
        <v>48019</v>
      </c>
      <c r="I191" s="8"/>
      <c r="J191" s="15"/>
      <c r="K191" s="15"/>
      <c r="L191" s="6" t="s">
        <v>82</v>
      </c>
      <c r="M191" s="16">
        <v>0.4</v>
      </c>
      <c r="N191" s="6" t="s">
        <v>83</v>
      </c>
      <c r="O191" s="13" t="s">
        <v>84</v>
      </c>
      <c r="P191" s="14"/>
      <c r="Q191" s="16"/>
      <c r="R191" s="9"/>
    </row>
    <row r="192" spans="1:18" x14ac:dyDescent="0.25">
      <c r="A192" s="2" t="s">
        <v>80</v>
      </c>
      <c r="B192" s="3">
        <v>46223</v>
      </c>
      <c r="C192" s="2" t="s">
        <v>17</v>
      </c>
      <c r="D192" s="2" t="s">
        <v>90</v>
      </c>
      <c r="E192" s="4"/>
      <c r="F192" s="10">
        <v>100</v>
      </c>
      <c r="G192" s="10">
        <v>59</v>
      </c>
      <c r="H192" s="3">
        <v>48019</v>
      </c>
      <c r="I192" s="4"/>
      <c r="J192" s="11"/>
      <c r="K192" s="11"/>
      <c r="L192" s="2" t="s">
        <v>82</v>
      </c>
      <c r="M192" s="12">
        <v>0.4</v>
      </c>
      <c r="N192" s="2" t="s">
        <v>83</v>
      </c>
      <c r="O192" s="13" t="s">
        <v>84</v>
      </c>
      <c r="P192" s="10"/>
      <c r="Q192" s="12"/>
      <c r="R192" s="5"/>
    </row>
    <row r="193" spans="1:18" x14ac:dyDescent="0.25">
      <c r="A193" s="6" t="s">
        <v>80</v>
      </c>
      <c r="B193" s="7">
        <v>46223</v>
      </c>
      <c r="C193" s="6" t="s">
        <v>20</v>
      </c>
      <c r="D193" s="6" t="s">
        <v>86</v>
      </c>
      <c r="E193" s="8"/>
      <c r="F193" s="14">
        <v>100</v>
      </c>
      <c r="G193" s="14">
        <v>58.2</v>
      </c>
      <c r="H193" s="7">
        <v>48019</v>
      </c>
      <c r="I193" s="8"/>
      <c r="J193" s="15"/>
      <c r="K193" s="15"/>
      <c r="L193" s="6" t="s">
        <v>82</v>
      </c>
      <c r="M193" s="16">
        <v>0.4</v>
      </c>
      <c r="N193" s="6" t="s">
        <v>83</v>
      </c>
      <c r="O193" s="13" t="s">
        <v>84</v>
      </c>
      <c r="P193" s="14"/>
      <c r="Q193" s="16"/>
      <c r="R193" s="9"/>
    </row>
    <row r="194" spans="1:18" x14ac:dyDescent="0.25">
      <c r="A194" s="2" t="s">
        <v>80</v>
      </c>
      <c r="B194" s="3">
        <v>46223</v>
      </c>
      <c r="C194" s="2" t="s">
        <v>23</v>
      </c>
      <c r="D194" s="2" t="s">
        <v>87</v>
      </c>
      <c r="E194" s="4"/>
      <c r="F194" s="10">
        <v>100</v>
      </c>
      <c r="G194" s="10">
        <v>58.5</v>
      </c>
      <c r="H194" s="3">
        <v>48019</v>
      </c>
      <c r="I194" s="4"/>
      <c r="J194" s="11"/>
      <c r="K194" s="11"/>
      <c r="L194" s="2" t="s">
        <v>82</v>
      </c>
      <c r="M194" s="12">
        <v>0.4</v>
      </c>
      <c r="N194" s="2" t="s">
        <v>83</v>
      </c>
      <c r="O194" s="13" t="s">
        <v>84</v>
      </c>
      <c r="P194" s="10"/>
      <c r="Q194" s="12"/>
      <c r="R194" s="5"/>
    </row>
    <row r="195" spans="1:18" x14ac:dyDescent="0.25">
      <c r="A195" s="6" t="s">
        <v>80</v>
      </c>
      <c r="B195" s="7">
        <v>46223</v>
      </c>
      <c r="C195" s="6" t="s">
        <v>26</v>
      </c>
      <c r="D195" s="6" t="s">
        <v>88</v>
      </c>
      <c r="E195" s="8"/>
      <c r="F195" s="14">
        <v>100</v>
      </c>
      <c r="G195" s="14">
        <v>47.6</v>
      </c>
      <c r="H195" s="7">
        <v>48019</v>
      </c>
      <c r="I195" s="8"/>
      <c r="J195" s="15"/>
      <c r="K195" s="15"/>
      <c r="L195" s="6" t="s">
        <v>82</v>
      </c>
      <c r="M195" s="16">
        <v>0.4</v>
      </c>
      <c r="N195" s="6" t="s">
        <v>83</v>
      </c>
      <c r="O195" s="13" t="s">
        <v>84</v>
      </c>
      <c r="P195" s="14"/>
      <c r="Q195" s="16"/>
      <c r="R195" s="9"/>
    </row>
    <row r="196" spans="1:18" x14ac:dyDescent="0.25">
      <c r="A196" s="2" t="s">
        <v>80</v>
      </c>
      <c r="B196" s="3">
        <v>46223</v>
      </c>
      <c r="C196" s="2" t="s">
        <v>29</v>
      </c>
      <c r="D196" s="2" t="s">
        <v>89</v>
      </c>
      <c r="E196" s="4"/>
      <c r="F196" s="10">
        <v>100</v>
      </c>
      <c r="G196" s="10">
        <v>77.8</v>
      </c>
      <c r="H196" s="3">
        <v>48019</v>
      </c>
      <c r="I196" s="4"/>
      <c r="J196" s="11"/>
      <c r="K196" s="11"/>
      <c r="L196" s="2" t="s">
        <v>82</v>
      </c>
      <c r="M196" s="12">
        <v>0.4</v>
      </c>
      <c r="N196" s="2" t="s">
        <v>83</v>
      </c>
      <c r="O196" s="13" t="s">
        <v>84</v>
      </c>
      <c r="P196" s="10"/>
      <c r="Q196" s="12"/>
      <c r="R196" s="5"/>
    </row>
    <row r="197" spans="1:18" x14ac:dyDescent="0.25">
      <c r="A197" s="6" t="s">
        <v>80</v>
      </c>
      <c r="B197" s="7">
        <v>46224</v>
      </c>
      <c r="C197" s="6" t="s">
        <v>9</v>
      </c>
      <c r="D197" s="6" t="s">
        <v>81</v>
      </c>
      <c r="E197" s="8"/>
      <c r="F197" s="14">
        <v>100</v>
      </c>
      <c r="G197" s="14">
        <v>192.25</v>
      </c>
      <c r="H197" s="7">
        <v>48019</v>
      </c>
      <c r="I197" s="8"/>
      <c r="J197" s="15"/>
      <c r="K197" s="15"/>
      <c r="L197" s="6" t="s">
        <v>82</v>
      </c>
      <c r="M197" s="16">
        <v>0.4</v>
      </c>
      <c r="N197" s="6" t="s">
        <v>83</v>
      </c>
      <c r="O197" s="13" t="s">
        <v>84</v>
      </c>
      <c r="P197" s="14"/>
      <c r="Q197" s="16"/>
      <c r="R197" s="9"/>
    </row>
    <row r="198" spans="1:18" x14ac:dyDescent="0.25">
      <c r="A198" s="2" t="s">
        <v>80</v>
      </c>
      <c r="B198" s="3">
        <v>46224</v>
      </c>
      <c r="C198" s="2" t="s">
        <v>14</v>
      </c>
      <c r="D198" s="2" t="s">
        <v>85</v>
      </c>
      <c r="E198" s="4"/>
      <c r="F198" s="10">
        <v>500</v>
      </c>
      <c r="G198" s="10">
        <v>690</v>
      </c>
      <c r="H198" s="3">
        <v>48019</v>
      </c>
      <c r="I198" s="4"/>
      <c r="J198" s="11"/>
      <c r="K198" s="11"/>
      <c r="L198" s="2" t="s">
        <v>82</v>
      </c>
      <c r="M198" s="12">
        <v>0.4</v>
      </c>
      <c r="N198" s="2" t="s">
        <v>83</v>
      </c>
      <c r="O198" s="13" t="s">
        <v>84</v>
      </c>
      <c r="P198" s="10"/>
      <c r="Q198" s="12"/>
      <c r="R198" s="5"/>
    </row>
    <row r="199" spans="1:18" x14ac:dyDescent="0.25">
      <c r="A199" s="6" t="s">
        <v>80</v>
      </c>
      <c r="B199" s="7">
        <v>46224</v>
      </c>
      <c r="C199" s="6" t="s">
        <v>17</v>
      </c>
      <c r="D199" s="6" t="s">
        <v>90</v>
      </c>
      <c r="E199" s="8"/>
      <c r="F199" s="14">
        <v>100</v>
      </c>
      <c r="G199" s="14">
        <v>61.75</v>
      </c>
      <c r="H199" s="7">
        <v>48019</v>
      </c>
      <c r="I199" s="8"/>
      <c r="J199" s="15"/>
      <c r="K199" s="15"/>
      <c r="L199" s="6" t="s">
        <v>82</v>
      </c>
      <c r="M199" s="16">
        <v>0.4</v>
      </c>
      <c r="N199" s="6" t="s">
        <v>83</v>
      </c>
      <c r="O199" s="13" t="s">
        <v>84</v>
      </c>
      <c r="P199" s="14"/>
      <c r="Q199" s="16"/>
      <c r="R199" s="9"/>
    </row>
    <row r="200" spans="1:18" x14ac:dyDescent="0.25">
      <c r="A200" s="2" t="s">
        <v>80</v>
      </c>
      <c r="B200" s="3">
        <v>46224</v>
      </c>
      <c r="C200" s="2" t="s">
        <v>20</v>
      </c>
      <c r="D200" s="2" t="s">
        <v>86</v>
      </c>
      <c r="E200" s="4"/>
      <c r="F200" s="10">
        <v>100</v>
      </c>
      <c r="G200" s="10">
        <v>58.6</v>
      </c>
      <c r="H200" s="3">
        <v>48019</v>
      </c>
      <c r="I200" s="4"/>
      <c r="J200" s="11"/>
      <c r="K200" s="11"/>
      <c r="L200" s="2" t="s">
        <v>82</v>
      </c>
      <c r="M200" s="12">
        <v>0.4</v>
      </c>
      <c r="N200" s="2" t="s">
        <v>83</v>
      </c>
      <c r="O200" s="13" t="s">
        <v>84</v>
      </c>
      <c r="P200" s="10"/>
      <c r="Q200" s="12"/>
      <c r="R200" s="5"/>
    </row>
    <row r="201" spans="1:18" x14ac:dyDescent="0.25">
      <c r="A201" s="6" t="s">
        <v>80</v>
      </c>
      <c r="B201" s="7">
        <v>46224</v>
      </c>
      <c r="C201" s="6" t="s">
        <v>23</v>
      </c>
      <c r="D201" s="6" t="s">
        <v>87</v>
      </c>
      <c r="E201" s="8"/>
      <c r="F201" s="14">
        <v>100</v>
      </c>
      <c r="G201" s="14">
        <v>59</v>
      </c>
      <c r="H201" s="7">
        <v>48019</v>
      </c>
      <c r="I201" s="8"/>
      <c r="J201" s="15"/>
      <c r="K201" s="15"/>
      <c r="L201" s="6" t="s">
        <v>82</v>
      </c>
      <c r="M201" s="16">
        <v>0.4</v>
      </c>
      <c r="N201" s="6" t="s">
        <v>83</v>
      </c>
      <c r="O201" s="13" t="s">
        <v>84</v>
      </c>
      <c r="P201" s="14"/>
      <c r="Q201" s="16"/>
      <c r="R201" s="9"/>
    </row>
    <row r="202" spans="1:18" x14ac:dyDescent="0.25">
      <c r="A202" s="2" t="s">
        <v>80</v>
      </c>
      <c r="B202" s="3">
        <v>46224</v>
      </c>
      <c r="C202" s="2" t="s">
        <v>26</v>
      </c>
      <c r="D202" s="2" t="s">
        <v>88</v>
      </c>
      <c r="E202" s="4"/>
      <c r="F202" s="10">
        <v>100</v>
      </c>
      <c r="G202" s="10">
        <v>47.8</v>
      </c>
      <c r="H202" s="3">
        <v>48019</v>
      </c>
      <c r="I202" s="4"/>
      <c r="J202" s="11"/>
      <c r="K202" s="11"/>
      <c r="L202" s="2" t="s">
        <v>82</v>
      </c>
      <c r="M202" s="12">
        <v>0.4</v>
      </c>
      <c r="N202" s="2" t="s">
        <v>83</v>
      </c>
      <c r="O202" s="13" t="s">
        <v>84</v>
      </c>
      <c r="P202" s="10"/>
      <c r="Q202" s="12"/>
      <c r="R202" s="5"/>
    </row>
    <row r="203" spans="1:18" x14ac:dyDescent="0.25">
      <c r="A203" s="6" t="s">
        <v>80</v>
      </c>
      <c r="B203" s="7">
        <v>46224</v>
      </c>
      <c r="C203" s="6" t="s">
        <v>29</v>
      </c>
      <c r="D203" s="6" t="s">
        <v>89</v>
      </c>
      <c r="E203" s="8"/>
      <c r="F203" s="14">
        <v>100</v>
      </c>
      <c r="G203" s="14">
        <v>78.4</v>
      </c>
      <c r="H203" s="7">
        <v>48019</v>
      </c>
      <c r="I203" s="8"/>
      <c r="J203" s="15"/>
      <c r="K203" s="15"/>
      <c r="L203" s="6" t="s">
        <v>82</v>
      </c>
      <c r="M203" s="16">
        <v>0.4</v>
      </c>
      <c r="N203" s="6" t="s">
        <v>83</v>
      </c>
      <c r="O203" s="13" t="s">
        <v>84</v>
      </c>
      <c r="P203" s="14"/>
      <c r="Q203" s="16"/>
      <c r="R203" s="9"/>
    </row>
    <row r="204" spans="1:18" x14ac:dyDescent="0.25">
      <c r="A204" s="2" t="s">
        <v>80</v>
      </c>
      <c r="B204" s="3">
        <v>46225</v>
      </c>
      <c r="C204" s="2" t="s">
        <v>9</v>
      </c>
      <c r="D204" s="2" t="s">
        <v>81</v>
      </c>
      <c r="E204" s="4"/>
      <c r="F204" s="10">
        <v>100</v>
      </c>
      <c r="G204" s="10">
        <v>196.5</v>
      </c>
      <c r="H204" s="3">
        <v>48019</v>
      </c>
      <c r="I204" s="4"/>
      <c r="J204" s="11"/>
      <c r="K204" s="11"/>
      <c r="L204" s="2" t="s">
        <v>82</v>
      </c>
      <c r="M204" s="12">
        <v>0.4</v>
      </c>
      <c r="N204" s="2" t="s">
        <v>83</v>
      </c>
      <c r="O204" s="13" t="s">
        <v>84</v>
      </c>
      <c r="P204" s="10"/>
      <c r="Q204" s="12"/>
      <c r="R204" s="5"/>
    </row>
    <row r="205" spans="1:18" x14ac:dyDescent="0.25">
      <c r="A205" s="6" t="s">
        <v>80</v>
      </c>
      <c r="B205" s="7">
        <v>46225</v>
      </c>
      <c r="C205" s="6" t="s">
        <v>14</v>
      </c>
      <c r="D205" s="6" t="s">
        <v>85</v>
      </c>
      <c r="E205" s="8"/>
      <c r="F205" s="14">
        <v>500</v>
      </c>
      <c r="G205" s="14">
        <v>700</v>
      </c>
      <c r="H205" s="7">
        <v>48019</v>
      </c>
      <c r="I205" s="8"/>
      <c r="J205" s="15"/>
      <c r="K205" s="15"/>
      <c r="L205" s="6" t="s">
        <v>82</v>
      </c>
      <c r="M205" s="16">
        <v>0.4</v>
      </c>
      <c r="N205" s="6" t="s">
        <v>83</v>
      </c>
      <c r="O205" s="13" t="s">
        <v>84</v>
      </c>
      <c r="P205" s="14"/>
      <c r="Q205" s="16"/>
      <c r="R205" s="9"/>
    </row>
    <row r="206" spans="1:18" x14ac:dyDescent="0.25">
      <c r="A206" s="2" t="s">
        <v>80</v>
      </c>
      <c r="B206" s="3">
        <v>46225</v>
      </c>
      <c r="C206" s="2" t="s">
        <v>17</v>
      </c>
      <c r="D206" s="2" t="s">
        <v>90</v>
      </c>
      <c r="E206" s="4"/>
      <c r="F206" s="10">
        <v>100</v>
      </c>
      <c r="G206" s="10">
        <v>64.5</v>
      </c>
      <c r="H206" s="3">
        <v>48019</v>
      </c>
      <c r="I206" s="4"/>
      <c r="J206" s="11"/>
      <c r="K206" s="11"/>
      <c r="L206" s="2" t="s">
        <v>82</v>
      </c>
      <c r="M206" s="12">
        <v>0.4</v>
      </c>
      <c r="N206" s="2" t="s">
        <v>83</v>
      </c>
      <c r="O206" s="13" t="s">
        <v>84</v>
      </c>
      <c r="P206" s="10"/>
      <c r="Q206" s="12"/>
      <c r="R206" s="5"/>
    </row>
    <row r="207" spans="1:18" x14ac:dyDescent="0.25">
      <c r="A207" s="6" t="s">
        <v>80</v>
      </c>
      <c r="B207" s="7">
        <v>46225</v>
      </c>
      <c r="C207" s="6" t="s">
        <v>20</v>
      </c>
      <c r="D207" s="6" t="s">
        <v>86</v>
      </c>
      <c r="E207" s="8"/>
      <c r="F207" s="14">
        <v>100</v>
      </c>
      <c r="G207" s="14">
        <v>59</v>
      </c>
      <c r="H207" s="7">
        <v>48019</v>
      </c>
      <c r="I207" s="8"/>
      <c r="J207" s="15"/>
      <c r="K207" s="15"/>
      <c r="L207" s="6" t="s">
        <v>82</v>
      </c>
      <c r="M207" s="16">
        <v>0.4</v>
      </c>
      <c r="N207" s="6" t="s">
        <v>83</v>
      </c>
      <c r="O207" s="13" t="s">
        <v>84</v>
      </c>
      <c r="P207" s="14"/>
      <c r="Q207" s="16"/>
      <c r="R207" s="9"/>
    </row>
    <row r="208" spans="1:18" x14ac:dyDescent="0.25">
      <c r="A208" s="2" t="s">
        <v>80</v>
      </c>
      <c r="B208" s="3">
        <v>46225</v>
      </c>
      <c r="C208" s="2" t="s">
        <v>23</v>
      </c>
      <c r="D208" s="2" t="s">
        <v>87</v>
      </c>
      <c r="E208" s="4"/>
      <c r="F208" s="10">
        <v>100</v>
      </c>
      <c r="G208" s="10">
        <v>60.67</v>
      </c>
      <c r="H208" s="3">
        <v>48019</v>
      </c>
      <c r="I208" s="4"/>
      <c r="J208" s="11"/>
      <c r="K208" s="11"/>
      <c r="L208" s="2" t="s">
        <v>82</v>
      </c>
      <c r="M208" s="12">
        <v>0.4</v>
      </c>
      <c r="N208" s="2" t="s">
        <v>83</v>
      </c>
      <c r="O208" s="13" t="s">
        <v>84</v>
      </c>
      <c r="P208" s="10"/>
      <c r="Q208" s="12"/>
      <c r="R208" s="5"/>
    </row>
    <row r="209" spans="1:18" x14ac:dyDescent="0.25">
      <c r="A209" s="6" t="s">
        <v>80</v>
      </c>
      <c r="B209" s="7">
        <v>46225</v>
      </c>
      <c r="C209" s="6" t="s">
        <v>26</v>
      </c>
      <c r="D209" s="6" t="s">
        <v>88</v>
      </c>
      <c r="E209" s="8"/>
      <c r="F209" s="14">
        <v>100</v>
      </c>
      <c r="G209" s="14">
        <v>48</v>
      </c>
      <c r="H209" s="7">
        <v>48019</v>
      </c>
      <c r="I209" s="8"/>
      <c r="J209" s="15"/>
      <c r="K209" s="15"/>
      <c r="L209" s="6" t="s">
        <v>82</v>
      </c>
      <c r="M209" s="16">
        <v>0.4</v>
      </c>
      <c r="N209" s="6" t="s">
        <v>83</v>
      </c>
      <c r="O209" s="13" t="s">
        <v>84</v>
      </c>
      <c r="P209" s="14"/>
      <c r="Q209" s="16"/>
      <c r="R209" s="9"/>
    </row>
    <row r="210" spans="1:18" x14ac:dyDescent="0.25">
      <c r="A210" s="2" t="s">
        <v>80</v>
      </c>
      <c r="B210" s="3">
        <v>46225</v>
      </c>
      <c r="C210" s="2" t="s">
        <v>29</v>
      </c>
      <c r="D210" s="2" t="s">
        <v>89</v>
      </c>
      <c r="E210" s="4"/>
      <c r="F210" s="10">
        <v>100</v>
      </c>
      <c r="G210" s="10">
        <v>79</v>
      </c>
      <c r="H210" s="3">
        <v>48019</v>
      </c>
      <c r="I210" s="4"/>
      <c r="J210" s="11"/>
      <c r="K210" s="11"/>
      <c r="L210" s="2" t="s">
        <v>82</v>
      </c>
      <c r="M210" s="12">
        <v>0.4</v>
      </c>
      <c r="N210" s="2" t="s">
        <v>83</v>
      </c>
      <c r="O210" s="13" t="s">
        <v>84</v>
      </c>
      <c r="P210" s="10"/>
      <c r="Q210" s="12"/>
      <c r="R210" s="5"/>
    </row>
    <row r="211" spans="1:18" x14ac:dyDescent="0.25">
      <c r="A211" s="6" t="s">
        <v>80</v>
      </c>
      <c r="B211" s="7">
        <v>46226</v>
      </c>
      <c r="C211" s="6" t="s">
        <v>9</v>
      </c>
      <c r="D211" s="6" t="s">
        <v>81</v>
      </c>
      <c r="E211" s="8"/>
      <c r="F211" s="14">
        <v>100</v>
      </c>
      <c r="G211" s="14">
        <v>200.75</v>
      </c>
      <c r="H211" s="7">
        <v>48019</v>
      </c>
      <c r="I211" s="8"/>
      <c r="J211" s="15"/>
      <c r="K211" s="15"/>
      <c r="L211" s="6" t="s">
        <v>82</v>
      </c>
      <c r="M211" s="16">
        <v>0.4</v>
      </c>
      <c r="N211" s="6" t="s">
        <v>83</v>
      </c>
      <c r="O211" s="13" t="s">
        <v>84</v>
      </c>
      <c r="P211" s="14"/>
      <c r="Q211" s="16"/>
      <c r="R211" s="9"/>
    </row>
    <row r="212" spans="1:18" x14ac:dyDescent="0.25">
      <c r="A212" s="2" t="s">
        <v>80</v>
      </c>
      <c r="B212" s="3">
        <v>46226</v>
      </c>
      <c r="C212" s="2" t="s">
        <v>14</v>
      </c>
      <c r="D212" s="2" t="s">
        <v>85</v>
      </c>
      <c r="E212" s="4"/>
      <c r="F212" s="10">
        <v>500</v>
      </c>
      <c r="G212" s="10">
        <v>710</v>
      </c>
      <c r="H212" s="3">
        <v>48019</v>
      </c>
      <c r="I212" s="4"/>
      <c r="J212" s="11"/>
      <c r="K212" s="11"/>
      <c r="L212" s="2" t="s">
        <v>82</v>
      </c>
      <c r="M212" s="12">
        <v>0.4</v>
      </c>
      <c r="N212" s="2" t="s">
        <v>83</v>
      </c>
      <c r="O212" s="13" t="s">
        <v>84</v>
      </c>
      <c r="P212" s="10"/>
      <c r="Q212" s="12"/>
      <c r="R212" s="5"/>
    </row>
    <row r="213" spans="1:18" x14ac:dyDescent="0.25">
      <c r="A213" s="6" t="s">
        <v>80</v>
      </c>
      <c r="B213" s="7">
        <v>46226</v>
      </c>
      <c r="C213" s="6" t="s">
        <v>17</v>
      </c>
      <c r="D213" s="6" t="s">
        <v>90</v>
      </c>
      <c r="E213" s="8"/>
      <c r="F213" s="14">
        <v>100</v>
      </c>
      <c r="G213" s="14">
        <v>67.25</v>
      </c>
      <c r="H213" s="7">
        <v>48019</v>
      </c>
      <c r="I213" s="8"/>
      <c r="J213" s="15"/>
      <c r="K213" s="15"/>
      <c r="L213" s="6" t="s">
        <v>82</v>
      </c>
      <c r="M213" s="16">
        <v>0.4</v>
      </c>
      <c r="N213" s="6" t="s">
        <v>83</v>
      </c>
      <c r="O213" s="13" t="s">
        <v>84</v>
      </c>
      <c r="P213" s="14"/>
      <c r="Q213" s="16"/>
      <c r="R213" s="9"/>
    </row>
    <row r="214" spans="1:18" x14ac:dyDescent="0.25">
      <c r="A214" s="2" t="s">
        <v>80</v>
      </c>
      <c r="B214" s="3">
        <v>46226</v>
      </c>
      <c r="C214" s="2" t="s">
        <v>20</v>
      </c>
      <c r="D214" s="2" t="s">
        <v>86</v>
      </c>
      <c r="E214" s="4"/>
      <c r="F214" s="10">
        <v>100</v>
      </c>
      <c r="G214" s="10">
        <v>60.6</v>
      </c>
      <c r="H214" s="3">
        <v>48019</v>
      </c>
      <c r="I214" s="4"/>
      <c r="J214" s="11"/>
      <c r="K214" s="11"/>
      <c r="L214" s="2" t="s">
        <v>82</v>
      </c>
      <c r="M214" s="12">
        <v>0.4</v>
      </c>
      <c r="N214" s="2" t="s">
        <v>83</v>
      </c>
      <c r="O214" s="13" t="s">
        <v>84</v>
      </c>
      <c r="P214" s="10"/>
      <c r="Q214" s="12"/>
      <c r="R214" s="5"/>
    </row>
    <row r="215" spans="1:18" x14ac:dyDescent="0.25">
      <c r="A215" s="6" t="s">
        <v>80</v>
      </c>
      <c r="B215" s="7">
        <v>46226</v>
      </c>
      <c r="C215" s="6" t="s">
        <v>23</v>
      </c>
      <c r="D215" s="6" t="s">
        <v>87</v>
      </c>
      <c r="E215" s="8"/>
      <c r="F215" s="14">
        <v>100</v>
      </c>
      <c r="G215" s="14">
        <v>62.33</v>
      </c>
      <c r="H215" s="7">
        <v>48019</v>
      </c>
      <c r="I215" s="8"/>
      <c r="J215" s="15"/>
      <c r="K215" s="15"/>
      <c r="L215" s="6" t="s">
        <v>82</v>
      </c>
      <c r="M215" s="16">
        <v>0.4</v>
      </c>
      <c r="N215" s="6" t="s">
        <v>83</v>
      </c>
      <c r="O215" s="13" t="s">
        <v>84</v>
      </c>
      <c r="P215" s="14"/>
      <c r="Q215" s="16"/>
      <c r="R215" s="9"/>
    </row>
    <row r="216" spans="1:18" x14ac:dyDescent="0.25">
      <c r="A216" s="2" t="s">
        <v>80</v>
      </c>
      <c r="B216" s="3">
        <v>46226</v>
      </c>
      <c r="C216" s="2" t="s">
        <v>26</v>
      </c>
      <c r="D216" s="2" t="s">
        <v>88</v>
      </c>
      <c r="E216" s="4"/>
      <c r="F216" s="10">
        <v>100</v>
      </c>
      <c r="G216" s="10">
        <v>48.8</v>
      </c>
      <c r="H216" s="3">
        <v>48019</v>
      </c>
      <c r="I216" s="4"/>
      <c r="J216" s="11"/>
      <c r="K216" s="11"/>
      <c r="L216" s="2" t="s">
        <v>82</v>
      </c>
      <c r="M216" s="12">
        <v>0.4</v>
      </c>
      <c r="N216" s="2" t="s">
        <v>83</v>
      </c>
      <c r="O216" s="13" t="s">
        <v>84</v>
      </c>
      <c r="P216" s="10"/>
      <c r="Q216" s="12"/>
      <c r="R216" s="5"/>
    </row>
    <row r="217" spans="1:18" x14ac:dyDescent="0.25">
      <c r="A217" s="6" t="s">
        <v>80</v>
      </c>
      <c r="B217" s="7">
        <v>46226</v>
      </c>
      <c r="C217" s="6" t="s">
        <v>29</v>
      </c>
      <c r="D217" s="6" t="s">
        <v>89</v>
      </c>
      <c r="E217" s="8"/>
      <c r="F217" s="14">
        <v>100</v>
      </c>
      <c r="G217" s="14">
        <v>81.8</v>
      </c>
      <c r="H217" s="7">
        <v>48019</v>
      </c>
      <c r="I217" s="8"/>
      <c r="J217" s="15"/>
      <c r="K217" s="15"/>
      <c r="L217" s="6" t="s">
        <v>82</v>
      </c>
      <c r="M217" s="16">
        <v>0.4</v>
      </c>
      <c r="N217" s="6" t="s">
        <v>83</v>
      </c>
      <c r="O217" s="13" t="s">
        <v>84</v>
      </c>
      <c r="P217" s="14"/>
      <c r="Q217" s="16"/>
      <c r="R217" s="9"/>
    </row>
    <row r="218" spans="1:18" x14ac:dyDescent="0.25">
      <c r="A218" s="2" t="s">
        <v>80</v>
      </c>
      <c r="B218" s="3">
        <v>46227</v>
      </c>
      <c r="C218" s="2" t="s">
        <v>9</v>
      </c>
      <c r="D218" s="2" t="s">
        <v>81</v>
      </c>
      <c r="E218" s="4"/>
      <c r="F218" s="10">
        <v>100</v>
      </c>
      <c r="G218" s="10">
        <v>205</v>
      </c>
      <c r="H218" s="3">
        <v>48019</v>
      </c>
      <c r="I218" s="4"/>
      <c r="J218" s="11"/>
      <c r="K218" s="11"/>
      <c r="L218" s="2" t="s">
        <v>82</v>
      </c>
      <c r="M218" s="12">
        <v>0.4</v>
      </c>
      <c r="N218" s="2" t="s">
        <v>83</v>
      </c>
      <c r="O218" s="13" t="s">
        <v>84</v>
      </c>
      <c r="P218" s="10"/>
      <c r="Q218" s="12"/>
      <c r="R218" s="5"/>
    </row>
    <row r="219" spans="1:18" x14ac:dyDescent="0.25">
      <c r="A219" s="6" t="s">
        <v>80</v>
      </c>
      <c r="B219" s="7">
        <v>46227</v>
      </c>
      <c r="C219" s="6" t="s">
        <v>14</v>
      </c>
      <c r="D219" s="6" t="s">
        <v>85</v>
      </c>
      <c r="E219" s="8"/>
      <c r="F219" s="14">
        <v>500</v>
      </c>
      <c r="G219" s="14">
        <v>720</v>
      </c>
      <c r="H219" s="7">
        <v>48019</v>
      </c>
      <c r="I219" s="8"/>
      <c r="J219" s="15"/>
      <c r="K219" s="15"/>
      <c r="L219" s="6" t="s">
        <v>82</v>
      </c>
      <c r="M219" s="16">
        <v>0.4</v>
      </c>
      <c r="N219" s="6" t="s">
        <v>83</v>
      </c>
      <c r="O219" s="13" t="s">
        <v>84</v>
      </c>
      <c r="P219" s="14"/>
      <c r="Q219" s="16"/>
      <c r="R219" s="9"/>
    </row>
    <row r="220" spans="1:18" x14ac:dyDescent="0.25">
      <c r="A220" s="2" t="s">
        <v>80</v>
      </c>
      <c r="B220" s="3">
        <v>46227</v>
      </c>
      <c r="C220" s="2" t="s">
        <v>17</v>
      </c>
      <c r="D220" s="2" t="s">
        <v>90</v>
      </c>
      <c r="E220" s="4"/>
      <c r="F220" s="10">
        <v>100</v>
      </c>
      <c r="G220" s="10">
        <v>70</v>
      </c>
      <c r="H220" s="3">
        <v>48019</v>
      </c>
      <c r="I220" s="4"/>
      <c r="J220" s="11"/>
      <c r="K220" s="11"/>
      <c r="L220" s="2" t="s">
        <v>82</v>
      </c>
      <c r="M220" s="12">
        <v>0.4</v>
      </c>
      <c r="N220" s="2" t="s">
        <v>83</v>
      </c>
      <c r="O220" s="13" t="s">
        <v>84</v>
      </c>
      <c r="P220" s="10"/>
      <c r="Q220" s="12"/>
      <c r="R220" s="5"/>
    </row>
    <row r="221" spans="1:18" x14ac:dyDescent="0.25">
      <c r="A221" s="6" t="s">
        <v>80</v>
      </c>
      <c r="B221" s="7">
        <v>46227</v>
      </c>
      <c r="C221" s="6" t="s">
        <v>20</v>
      </c>
      <c r="D221" s="6" t="s">
        <v>86</v>
      </c>
      <c r="E221" s="8"/>
      <c r="F221" s="14">
        <v>100</v>
      </c>
      <c r="G221" s="14">
        <v>62.2</v>
      </c>
      <c r="H221" s="7">
        <v>48019</v>
      </c>
      <c r="I221" s="8"/>
      <c r="J221" s="15"/>
      <c r="K221" s="15"/>
      <c r="L221" s="6" t="s">
        <v>82</v>
      </c>
      <c r="M221" s="16">
        <v>0.4</v>
      </c>
      <c r="N221" s="6" t="s">
        <v>83</v>
      </c>
      <c r="O221" s="13" t="s">
        <v>84</v>
      </c>
      <c r="P221" s="14"/>
      <c r="Q221" s="16"/>
      <c r="R221" s="9"/>
    </row>
    <row r="222" spans="1:18" x14ac:dyDescent="0.25">
      <c r="A222" s="2" t="s">
        <v>80</v>
      </c>
      <c r="B222" s="3">
        <v>46227</v>
      </c>
      <c r="C222" s="2" t="s">
        <v>23</v>
      </c>
      <c r="D222" s="2" t="s">
        <v>87</v>
      </c>
      <c r="E222" s="4"/>
      <c r="F222" s="10">
        <v>100</v>
      </c>
      <c r="G222" s="10">
        <v>64</v>
      </c>
      <c r="H222" s="3">
        <v>48019</v>
      </c>
      <c r="I222" s="4"/>
      <c r="J222" s="11"/>
      <c r="K222" s="11"/>
      <c r="L222" s="2" t="s">
        <v>82</v>
      </c>
      <c r="M222" s="12">
        <v>0.4</v>
      </c>
      <c r="N222" s="2" t="s">
        <v>83</v>
      </c>
      <c r="O222" s="13" t="s">
        <v>84</v>
      </c>
      <c r="P222" s="10"/>
      <c r="Q222" s="12"/>
      <c r="R222" s="5"/>
    </row>
    <row r="223" spans="1:18" x14ac:dyDescent="0.25">
      <c r="A223" s="6" t="s">
        <v>80</v>
      </c>
      <c r="B223" s="7">
        <v>46227</v>
      </c>
      <c r="C223" s="6" t="s">
        <v>26</v>
      </c>
      <c r="D223" s="6" t="s">
        <v>88</v>
      </c>
      <c r="E223" s="8"/>
      <c r="F223" s="14">
        <v>100</v>
      </c>
      <c r="G223" s="14">
        <v>49.6</v>
      </c>
      <c r="H223" s="7">
        <v>48019</v>
      </c>
      <c r="I223" s="8"/>
      <c r="J223" s="15"/>
      <c r="K223" s="15"/>
      <c r="L223" s="6" t="s">
        <v>82</v>
      </c>
      <c r="M223" s="16">
        <v>0.4</v>
      </c>
      <c r="N223" s="6" t="s">
        <v>83</v>
      </c>
      <c r="O223" s="13" t="s">
        <v>84</v>
      </c>
      <c r="P223" s="14"/>
      <c r="Q223" s="16"/>
      <c r="R223" s="9"/>
    </row>
    <row r="224" spans="1:18" x14ac:dyDescent="0.25">
      <c r="A224" s="2" t="s">
        <v>80</v>
      </c>
      <c r="B224" s="3">
        <v>46227</v>
      </c>
      <c r="C224" s="2" t="s">
        <v>29</v>
      </c>
      <c r="D224" s="2" t="s">
        <v>89</v>
      </c>
      <c r="E224" s="4"/>
      <c r="F224" s="10">
        <v>100</v>
      </c>
      <c r="G224" s="10">
        <v>84.6</v>
      </c>
      <c r="H224" s="3">
        <v>48019</v>
      </c>
      <c r="I224" s="4"/>
      <c r="J224" s="11"/>
      <c r="K224" s="11"/>
      <c r="L224" s="2" t="s">
        <v>82</v>
      </c>
      <c r="M224" s="12">
        <v>0.4</v>
      </c>
      <c r="N224" s="2" t="s">
        <v>83</v>
      </c>
      <c r="O224" s="13" t="s">
        <v>84</v>
      </c>
      <c r="P224" s="10"/>
      <c r="Q224" s="12"/>
      <c r="R224" s="5"/>
    </row>
    <row r="225" spans="1:18" x14ac:dyDescent="0.25">
      <c r="A225" s="6" t="s">
        <v>80</v>
      </c>
      <c r="B225" s="7">
        <v>46230</v>
      </c>
      <c r="C225" s="6" t="s">
        <v>9</v>
      </c>
      <c r="D225" s="6" t="s">
        <v>81</v>
      </c>
      <c r="E225" s="8"/>
      <c r="F225" s="14">
        <v>100</v>
      </c>
      <c r="G225" s="14">
        <v>212.2</v>
      </c>
      <c r="H225" s="7">
        <v>48019</v>
      </c>
      <c r="I225" s="8"/>
      <c r="J225" s="15"/>
      <c r="K225" s="15"/>
      <c r="L225" s="6" t="s">
        <v>82</v>
      </c>
      <c r="M225" s="16">
        <v>0.4</v>
      </c>
      <c r="N225" s="6" t="s">
        <v>83</v>
      </c>
      <c r="O225" s="13" t="s">
        <v>84</v>
      </c>
      <c r="P225" s="14"/>
      <c r="Q225" s="16"/>
      <c r="R225" s="9"/>
    </row>
    <row r="226" spans="1:18" x14ac:dyDescent="0.25">
      <c r="A226" s="2" t="s">
        <v>80</v>
      </c>
      <c r="B226" s="3">
        <v>46230</v>
      </c>
      <c r="C226" s="2" t="s">
        <v>14</v>
      </c>
      <c r="D226" s="2" t="s">
        <v>85</v>
      </c>
      <c r="E226" s="4"/>
      <c r="F226" s="10">
        <v>500</v>
      </c>
      <c r="G226" s="10">
        <v>750</v>
      </c>
      <c r="H226" s="3">
        <v>48019</v>
      </c>
      <c r="I226" s="4"/>
      <c r="J226" s="11"/>
      <c r="K226" s="11"/>
      <c r="L226" s="2" t="s">
        <v>82</v>
      </c>
      <c r="M226" s="12">
        <v>0.4</v>
      </c>
      <c r="N226" s="2" t="s">
        <v>83</v>
      </c>
      <c r="O226" s="13" t="s">
        <v>84</v>
      </c>
      <c r="P226" s="10"/>
      <c r="Q226" s="12"/>
      <c r="R226" s="5"/>
    </row>
    <row r="227" spans="1:18" x14ac:dyDescent="0.25">
      <c r="A227" s="6" t="s">
        <v>80</v>
      </c>
      <c r="B227" s="7">
        <v>46230</v>
      </c>
      <c r="C227" s="6" t="s">
        <v>17</v>
      </c>
      <c r="D227" s="6" t="s">
        <v>90</v>
      </c>
      <c r="E227" s="8"/>
      <c r="F227" s="14">
        <v>100</v>
      </c>
      <c r="G227" s="14">
        <v>80</v>
      </c>
      <c r="H227" s="7">
        <v>48019</v>
      </c>
      <c r="I227" s="8"/>
      <c r="J227" s="15"/>
      <c r="K227" s="15"/>
      <c r="L227" s="6" t="s">
        <v>82</v>
      </c>
      <c r="M227" s="16">
        <v>0.4</v>
      </c>
      <c r="N227" s="6" t="s">
        <v>83</v>
      </c>
      <c r="O227" s="13" t="s">
        <v>84</v>
      </c>
      <c r="P227" s="14"/>
      <c r="Q227" s="16"/>
      <c r="R227" s="9"/>
    </row>
    <row r="228" spans="1:18" x14ac:dyDescent="0.25">
      <c r="A228" s="2" t="s">
        <v>80</v>
      </c>
      <c r="B228" s="3">
        <v>46230</v>
      </c>
      <c r="C228" s="2" t="s">
        <v>20</v>
      </c>
      <c r="D228" s="2" t="s">
        <v>86</v>
      </c>
      <c r="E228" s="4"/>
      <c r="F228" s="10">
        <v>100</v>
      </c>
      <c r="G228" s="10">
        <v>67</v>
      </c>
      <c r="H228" s="3">
        <v>48019</v>
      </c>
      <c r="I228" s="4"/>
      <c r="J228" s="11"/>
      <c r="K228" s="11"/>
      <c r="L228" s="2" t="s">
        <v>82</v>
      </c>
      <c r="M228" s="12">
        <v>0.4</v>
      </c>
      <c r="N228" s="2" t="s">
        <v>83</v>
      </c>
      <c r="O228" s="13" t="s">
        <v>84</v>
      </c>
      <c r="P228" s="10"/>
      <c r="Q228" s="12"/>
      <c r="R228" s="5"/>
    </row>
    <row r="229" spans="1:18" x14ac:dyDescent="0.25">
      <c r="A229" s="6" t="s">
        <v>80</v>
      </c>
      <c r="B229" s="7">
        <v>46230</v>
      </c>
      <c r="C229" s="6" t="s">
        <v>23</v>
      </c>
      <c r="D229" s="6" t="s">
        <v>87</v>
      </c>
      <c r="E229" s="8"/>
      <c r="F229" s="14">
        <v>100</v>
      </c>
      <c r="G229" s="14">
        <v>65.8</v>
      </c>
      <c r="H229" s="7">
        <v>48019</v>
      </c>
      <c r="I229" s="8"/>
      <c r="J229" s="15"/>
      <c r="K229" s="15"/>
      <c r="L229" s="6" t="s">
        <v>82</v>
      </c>
      <c r="M229" s="16">
        <v>0.4</v>
      </c>
      <c r="N229" s="6" t="s">
        <v>83</v>
      </c>
      <c r="O229" s="13" t="s">
        <v>84</v>
      </c>
      <c r="P229" s="14"/>
      <c r="Q229" s="16"/>
      <c r="R229" s="9"/>
    </row>
    <row r="230" spans="1:18" x14ac:dyDescent="0.25">
      <c r="A230" s="2" t="s">
        <v>80</v>
      </c>
      <c r="B230" s="3">
        <v>46230</v>
      </c>
      <c r="C230" s="2" t="s">
        <v>26</v>
      </c>
      <c r="D230" s="2" t="s">
        <v>88</v>
      </c>
      <c r="E230" s="4"/>
      <c r="F230" s="10">
        <v>100</v>
      </c>
      <c r="G230" s="10">
        <v>52</v>
      </c>
      <c r="H230" s="3">
        <v>48019</v>
      </c>
      <c r="I230" s="4"/>
      <c r="J230" s="11"/>
      <c r="K230" s="11"/>
      <c r="L230" s="2" t="s">
        <v>82</v>
      </c>
      <c r="M230" s="12">
        <v>0.4</v>
      </c>
      <c r="N230" s="2" t="s">
        <v>83</v>
      </c>
      <c r="O230" s="13" t="s">
        <v>84</v>
      </c>
      <c r="P230" s="10"/>
      <c r="Q230" s="12"/>
      <c r="R230" s="5"/>
    </row>
    <row r="231" spans="1:18" x14ac:dyDescent="0.25">
      <c r="A231" s="6" t="s">
        <v>80</v>
      </c>
      <c r="B231" s="7">
        <v>46230</v>
      </c>
      <c r="C231" s="6" t="s">
        <v>29</v>
      </c>
      <c r="D231" s="6" t="s">
        <v>89</v>
      </c>
      <c r="E231" s="8"/>
      <c r="F231" s="14">
        <v>100</v>
      </c>
      <c r="G231" s="14">
        <v>93</v>
      </c>
      <c r="H231" s="7">
        <v>48019</v>
      </c>
      <c r="I231" s="8"/>
      <c r="J231" s="15"/>
      <c r="K231" s="15"/>
      <c r="L231" s="6" t="s">
        <v>82</v>
      </c>
      <c r="M231" s="16">
        <v>0.4</v>
      </c>
      <c r="N231" s="6" t="s">
        <v>83</v>
      </c>
      <c r="O231" s="13" t="s">
        <v>84</v>
      </c>
      <c r="P231" s="14"/>
      <c r="Q231" s="16"/>
      <c r="R231" s="9"/>
    </row>
    <row r="232" spans="1:18" x14ac:dyDescent="0.25">
      <c r="A232" s="2" t="s">
        <v>80</v>
      </c>
      <c r="B232" s="3">
        <v>46231</v>
      </c>
      <c r="C232" s="2" t="s">
        <v>9</v>
      </c>
      <c r="D232" s="2" t="s">
        <v>81</v>
      </c>
      <c r="E232" s="4"/>
      <c r="F232" s="10">
        <v>100</v>
      </c>
      <c r="G232" s="10">
        <v>214.6</v>
      </c>
      <c r="H232" s="3">
        <v>48019</v>
      </c>
      <c r="I232" s="4"/>
      <c r="J232" s="11"/>
      <c r="K232" s="11"/>
      <c r="L232" s="2" t="s">
        <v>82</v>
      </c>
      <c r="M232" s="12">
        <v>0.4</v>
      </c>
      <c r="N232" s="2" t="s">
        <v>83</v>
      </c>
      <c r="O232" s="13" t="s">
        <v>84</v>
      </c>
      <c r="P232" s="10"/>
      <c r="Q232" s="12"/>
      <c r="R232" s="5"/>
    </row>
    <row r="233" spans="1:18" x14ac:dyDescent="0.25">
      <c r="A233" s="6" t="s">
        <v>80</v>
      </c>
      <c r="B233" s="7">
        <v>46231</v>
      </c>
      <c r="C233" s="6" t="s">
        <v>14</v>
      </c>
      <c r="D233" s="6" t="s">
        <v>85</v>
      </c>
      <c r="E233" s="8"/>
      <c r="F233" s="14">
        <v>500</v>
      </c>
      <c r="G233" s="14">
        <v>816.67</v>
      </c>
      <c r="H233" s="7">
        <v>48019</v>
      </c>
      <c r="I233" s="8"/>
      <c r="J233" s="15"/>
      <c r="K233" s="15"/>
      <c r="L233" s="6" t="s">
        <v>82</v>
      </c>
      <c r="M233" s="16">
        <v>0.4</v>
      </c>
      <c r="N233" s="6" t="s">
        <v>83</v>
      </c>
      <c r="O233" s="13" t="s">
        <v>84</v>
      </c>
      <c r="P233" s="14"/>
      <c r="Q233" s="16"/>
      <c r="R233" s="9"/>
    </row>
    <row r="234" spans="1:18" x14ac:dyDescent="0.25">
      <c r="A234" s="2" t="s">
        <v>80</v>
      </c>
      <c r="B234" s="3">
        <v>46231</v>
      </c>
      <c r="C234" s="2" t="s">
        <v>17</v>
      </c>
      <c r="D234" s="2" t="s">
        <v>90</v>
      </c>
      <c r="E234" s="4"/>
      <c r="F234" s="10">
        <v>100</v>
      </c>
      <c r="G234" s="10">
        <v>80.67</v>
      </c>
      <c r="H234" s="3">
        <v>48019</v>
      </c>
      <c r="I234" s="4"/>
      <c r="J234" s="11"/>
      <c r="K234" s="11"/>
      <c r="L234" s="2" t="s">
        <v>82</v>
      </c>
      <c r="M234" s="12">
        <v>0.4</v>
      </c>
      <c r="N234" s="2" t="s">
        <v>83</v>
      </c>
      <c r="O234" s="13" t="s">
        <v>84</v>
      </c>
      <c r="P234" s="10"/>
      <c r="Q234" s="12"/>
      <c r="R234" s="5"/>
    </row>
    <row r="235" spans="1:18" x14ac:dyDescent="0.25">
      <c r="A235" s="6" t="s">
        <v>80</v>
      </c>
      <c r="B235" s="7">
        <v>46231</v>
      </c>
      <c r="C235" s="6" t="s">
        <v>20</v>
      </c>
      <c r="D235" s="6" t="s">
        <v>86</v>
      </c>
      <c r="E235" s="8"/>
      <c r="F235" s="14">
        <v>100</v>
      </c>
      <c r="G235" s="14">
        <v>67.67</v>
      </c>
      <c r="H235" s="7">
        <v>48019</v>
      </c>
      <c r="I235" s="8"/>
      <c r="J235" s="15"/>
      <c r="K235" s="15"/>
      <c r="L235" s="6" t="s">
        <v>82</v>
      </c>
      <c r="M235" s="16">
        <v>0.4</v>
      </c>
      <c r="N235" s="6" t="s">
        <v>83</v>
      </c>
      <c r="O235" s="13" t="s">
        <v>84</v>
      </c>
      <c r="P235" s="14"/>
      <c r="Q235" s="16"/>
      <c r="R235" s="9"/>
    </row>
    <row r="236" spans="1:18" x14ac:dyDescent="0.25">
      <c r="A236" s="2" t="s">
        <v>80</v>
      </c>
      <c r="B236" s="3">
        <v>46231</v>
      </c>
      <c r="C236" s="2" t="s">
        <v>23</v>
      </c>
      <c r="D236" s="2" t="s">
        <v>87</v>
      </c>
      <c r="E236" s="4"/>
      <c r="F236" s="10">
        <v>100</v>
      </c>
      <c r="G236" s="10">
        <v>66.4</v>
      </c>
      <c r="H236" s="3">
        <v>48019</v>
      </c>
      <c r="I236" s="4"/>
      <c r="J236" s="11"/>
      <c r="K236" s="11"/>
      <c r="L236" s="2" t="s">
        <v>82</v>
      </c>
      <c r="M236" s="12">
        <v>0.4</v>
      </c>
      <c r="N236" s="2" t="s">
        <v>83</v>
      </c>
      <c r="O236" s="13" t="s">
        <v>84</v>
      </c>
      <c r="P236" s="10"/>
      <c r="Q236" s="12"/>
      <c r="R236" s="5"/>
    </row>
    <row r="237" spans="1:18" x14ac:dyDescent="0.25">
      <c r="A237" s="6" t="s">
        <v>80</v>
      </c>
      <c r="B237" s="7">
        <v>46231</v>
      </c>
      <c r="C237" s="6" t="s">
        <v>26</v>
      </c>
      <c r="D237" s="6" t="s">
        <v>88</v>
      </c>
      <c r="E237" s="8"/>
      <c r="F237" s="14">
        <v>100</v>
      </c>
      <c r="G237" s="14">
        <v>53</v>
      </c>
      <c r="H237" s="7">
        <v>48019</v>
      </c>
      <c r="I237" s="8"/>
      <c r="J237" s="15"/>
      <c r="K237" s="15"/>
      <c r="L237" s="6" t="s">
        <v>82</v>
      </c>
      <c r="M237" s="16">
        <v>0.4</v>
      </c>
      <c r="N237" s="6" t="s">
        <v>83</v>
      </c>
      <c r="O237" s="13" t="s">
        <v>84</v>
      </c>
      <c r="P237" s="14"/>
      <c r="Q237" s="16"/>
      <c r="R237" s="9"/>
    </row>
    <row r="238" spans="1:18" x14ac:dyDescent="0.25">
      <c r="A238" s="2" t="s">
        <v>80</v>
      </c>
      <c r="B238" s="3">
        <v>46231</v>
      </c>
      <c r="C238" s="2" t="s">
        <v>29</v>
      </c>
      <c r="D238" s="2" t="s">
        <v>89</v>
      </c>
      <c r="E238" s="4"/>
      <c r="F238" s="10">
        <v>100</v>
      </c>
      <c r="G238" s="10">
        <v>94.67</v>
      </c>
      <c r="H238" s="3">
        <v>48019</v>
      </c>
      <c r="I238" s="4"/>
      <c r="J238" s="11"/>
      <c r="K238" s="11"/>
      <c r="L238" s="2" t="s">
        <v>82</v>
      </c>
      <c r="M238" s="12">
        <v>0.4</v>
      </c>
      <c r="N238" s="2" t="s">
        <v>83</v>
      </c>
      <c r="O238" s="13" t="s">
        <v>84</v>
      </c>
      <c r="P238" s="10"/>
      <c r="Q238" s="12"/>
      <c r="R238" s="5"/>
    </row>
    <row r="239" spans="1:18" x14ac:dyDescent="0.25">
      <c r="A239" s="6" t="s">
        <v>80</v>
      </c>
      <c r="B239" s="7">
        <v>46232</v>
      </c>
      <c r="C239" s="6" t="s">
        <v>9</v>
      </c>
      <c r="D239" s="6" t="s">
        <v>81</v>
      </c>
      <c r="E239" s="8"/>
      <c r="F239" s="14">
        <v>100</v>
      </c>
      <c r="G239" s="14">
        <v>217</v>
      </c>
      <c r="H239" s="7">
        <v>48019</v>
      </c>
      <c r="I239" s="8"/>
      <c r="J239" s="15"/>
      <c r="K239" s="15"/>
      <c r="L239" s="6" t="s">
        <v>82</v>
      </c>
      <c r="M239" s="16">
        <v>0.4</v>
      </c>
      <c r="N239" s="6" t="s">
        <v>83</v>
      </c>
      <c r="O239" s="13" t="s">
        <v>84</v>
      </c>
      <c r="P239" s="14"/>
      <c r="Q239" s="16"/>
      <c r="R239" s="9"/>
    </row>
    <row r="240" spans="1:18" x14ac:dyDescent="0.25">
      <c r="A240" s="2" t="s">
        <v>80</v>
      </c>
      <c r="B240" s="3">
        <v>46232</v>
      </c>
      <c r="C240" s="2" t="s">
        <v>14</v>
      </c>
      <c r="D240" s="2" t="s">
        <v>85</v>
      </c>
      <c r="E240" s="4"/>
      <c r="F240" s="10">
        <v>500</v>
      </c>
      <c r="G240" s="10">
        <v>883.33</v>
      </c>
      <c r="H240" s="3">
        <v>48019</v>
      </c>
      <c r="I240" s="4"/>
      <c r="J240" s="11"/>
      <c r="K240" s="11"/>
      <c r="L240" s="2" t="s">
        <v>82</v>
      </c>
      <c r="M240" s="12">
        <v>0.4</v>
      </c>
      <c r="N240" s="2" t="s">
        <v>83</v>
      </c>
      <c r="O240" s="13" t="s">
        <v>84</v>
      </c>
      <c r="P240" s="10"/>
      <c r="Q240" s="12"/>
      <c r="R240" s="5"/>
    </row>
    <row r="241" spans="1:18" x14ac:dyDescent="0.25">
      <c r="A241" s="6" t="s">
        <v>80</v>
      </c>
      <c r="B241" s="7">
        <v>46232</v>
      </c>
      <c r="C241" s="6" t="s">
        <v>17</v>
      </c>
      <c r="D241" s="6" t="s">
        <v>90</v>
      </c>
      <c r="E241" s="8"/>
      <c r="F241" s="14">
        <v>100</v>
      </c>
      <c r="G241" s="14">
        <v>81.33</v>
      </c>
      <c r="H241" s="7">
        <v>48019</v>
      </c>
      <c r="I241" s="8"/>
      <c r="J241" s="15"/>
      <c r="K241" s="15"/>
      <c r="L241" s="6" t="s">
        <v>82</v>
      </c>
      <c r="M241" s="16">
        <v>0.4</v>
      </c>
      <c r="N241" s="6" t="s">
        <v>83</v>
      </c>
      <c r="O241" s="13" t="s">
        <v>84</v>
      </c>
      <c r="P241" s="14"/>
      <c r="Q241" s="16"/>
      <c r="R241" s="9"/>
    </row>
    <row r="242" spans="1:18" x14ac:dyDescent="0.25">
      <c r="A242" s="2" t="s">
        <v>80</v>
      </c>
      <c r="B242" s="3">
        <v>46232</v>
      </c>
      <c r="C242" s="2" t="s">
        <v>20</v>
      </c>
      <c r="D242" s="2" t="s">
        <v>86</v>
      </c>
      <c r="E242" s="4"/>
      <c r="F242" s="10">
        <v>100</v>
      </c>
      <c r="G242" s="10">
        <v>68.33</v>
      </c>
      <c r="H242" s="3">
        <v>48019</v>
      </c>
      <c r="I242" s="4"/>
      <c r="J242" s="11"/>
      <c r="K242" s="11"/>
      <c r="L242" s="2" t="s">
        <v>82</v>
      </c>
      <c r="M242" s="12">
        <v>0.4</v>
      </c>
      <c r="N242" s="2" t="s">
        <v>83</v>
      </c>
      <c r="O242" s="13" t="s">
        <v>84</v>
      </c>
      <c r="P242" s="10"/>
      <c r="Q242" s="12"/>
      <c r="R242" s="5"/>
    </row>
    <row r="243" spans="1:18" x14ac:dyDescent="0.25">
      <c r="A243" s="6" t="s">
        <v>80</v>
      </c>
      <c r="B243" s="7">
        <v>46232</v>
      </c>
      <c r="C243" s="6" t="s">
        <v>23</v>
      </c>
      <c r="D243" s="6" t="s">
        <v>87</v>
      </c>
      <c r="E243" s="8"/>
      <c r="F243" s="14">
        <v>100</v>
      </c>
      <c r="G243" s="14">
        <v>67</v>
      </c>
      <c r="H243" s="7">
        <v>48019</v>
      </c>
      <c r="I243" s="8"/>
      <c r="J243" s="15"/>
      <c r="K243" s="15"/>
      <c r="L243" s="6" t="s">
        <v>82</v>
      </c>
      <c r="M243" s="16">
        <v>0.4</v>
      </c>
      <c r="N243" s="6" t="s">
        <v>83</v>
      </c>
      <c r="O243" s="13" t="s">
        <v>84</v>
      </c>
      <c r="P243" s="14"/>
      <c r="Q243" s="16"/>
      <c r="R243" s="9"/>
    </row>
    <row r="244" spans="1:18" x14ac:dyDescent="0.25">
      <c r="A244" s="2" t="s">
        <v>80</v>
      </c>
      <c r="B244" s="3">
        <v>46232</v>
      </c>
      <c r="C244" s="2" t="s">
        <v>26</v>
      </c>
      <c r="D244" s="2" t="s">
        <v>88</v>
      </c>
      <c r="E244" s="4"/>
      <c r="F244" s="10">
        <v>100</v>
      </c>
      <c r="G244" s="10">
        <v>54</v>
      </c>
      <c r="H244" s="3">
        <v>48019</v>
      </c>
      <c r="I244" s="4"/>
      <c r="J244" s="11"/>
      <c r="K244" s="11"/>
      <c r="L244" s="2" t="s">
        <v>82</v>
      </c>
      <c r="M244" s="12">
        <v>0.4</v>
      </c>
      <c r="N244" s="2" t="s">
        <v>83</v>
      </c>
      <c r="O244" s="13" t="s">
        <v>84</v>
      </c>
      <c r="P244" s="10"/>
      <c r="Q244" s="12"/>
      <c r="R244" s="5"/>
    </row>
    <row r="245" spans="1:18" x14ac:dyDescent="0.25">
      <c r="A245" s="6" t="s">
        <v>80</v>
      </c>
      <c r="B245" s="7">
        <v>46232</v>
      </c>
      <c r="C245" s="6" t="s">
        <v>29</v>
      </c>
      <c r="D245" s="6" t="s">
        <v>89</v>
      </c>
      <c r="E245" s="8"/>
      <c r="F245" s="14">
        <v>100</v>
      </c>
      <c r="G245" s="14">
        <v>96.33</v>
      </c>
      <c r="H245" s="7">
        <v>48019</v>
      </c>
      <c r="I245" s="8"/>
      <c r="J245" s="15"/>
      <c r="K245" s="15"/>
      <c r="L245" s="6" t="s">
        <v>82</v>
      </c>
      <c r="M245" s="16">
        <v>0.4</v>
      </c>
      <c r="N245" s="6" t="s">
        <v>83</v>
      </c>
      <c r="O245" s="13" t="s">
        <v>84</v>
      </c>
      <c r="P245" s="14"/>
      <c r="Q245" s="16"/>
      <c r="R245" s="9"/>
    </row>
    <row r="246" spans="1:18" x14ac:dyDescent="0.25">
      <c r="A246" s="2" t="s">
        <v>80</v>
      </c>
      <c r="B246" s="3">
        <v>46233</v>
      </c>
      <c r="C246" s="2" t="s">
        <v>9</v>
      </c>
      <c r="D246" s="2" t="s">
        <v>81</v>
      </c>
      <c r="E246" s="4"/>
      <c r="F246" s="10">
        <v>100</v>
      </c>
      <c r="G246" s="10">
        <v>213.8</v>
      </c>
      <c r="H246" s="3">
        <v>48019</v>
      </c>
      <c r="I246" s="4"/>
      <c r="J246" s="11"/>
      <c r="K246" s="11"/>
      <c r="L246" s="2" t="s">
        <v>82</v>
      </c>
      <c r="M246" s="12">
        <v>0.4</v>
      </c>
      <c r="N246" s="2" t="s">
        <v>83</v>
      </c>
      <c r="O246" s="13" t="s">
        <v>84</v>
      </c>
      <c r="P246" s="10"/>
      <c r="Q246" s="12"/>
      <c r="R246" s="5"/>
    </row>
    <row r="247" spans="1:18" x14ac:dyDescent="0.25">
      <c r="A247" s="6" t="s">
        <v>80</v>
      </c>
      <c r="B247" s="7">
        <v>46233</v>
      </c>
      <c r="C247" s="6" t="s">
        <v>14</v>
      </c>
      <c r="D247" s="6" t="s">
        <v>85</v>
      </c>
      <c r="E247" s="8"/>
      <c r="F247" s="14">
        <v>500</v>
      </c>
      <c r="G247" s="14">
        <v>950</v>
      </c>
      <c r="H247" s="7">
        <v>48019</v>
      </c>
      <c r="I247" s="8"/>
      <c r="J247" s="15"/>
      <c r="K247" s="15"/>
      <c r="L247" s="6" t="s">
        <v>82</v>
      </c>
      <c r="M247" s="16">
        <v>0.4</v>
      </c>
      <c r="N247" s="6" t="s">
        <v>83</v>
      </c>
      <c r="O247" s="13" t="s">
        <v>84</v>
      </c>
      <c r="P247" s="14"/>
      <c r="Q247" s="16"/>
      <c r="R247" s="9"/>
    </row>
    <row r="248" spans="1:18" x14ac:dyDescent="0.25">
      <c r="A248" s="2" t="s">
        <v>80</v>
      </c>
      <c r="B248" s="3">
        <v>46233</v>
      </c>
      <c r="C248" s="2" t="s">
        <v>17</v>
      </c>
      <c r="D248" s="2" t="s">
        <v>90</v>
      </c>
      <c r="E248" s="4"/>
      <c r="F248" s="10">
        <v>100</v>
      </c>
      <c r="G248" s="10">
        <v>82</v>
      </c>
      <c r="H248" s="3">
        <v>48019</v>
      </c>
      <c r="I248" s="4"/>
      <c r="J248" s="11"/>
      <c r="K248" s="11"/>
      <c r="L248" s="2" t="s">
        <v>82</v>
      </c>
      <c r="M248" s="12">
        <v>0.4</v>
      </c>
      <c r="N248" s="2" t="s">
        <v>83</v>
      </c>
      <c r="O248" s="13" t="s">
        <v>84</v>
      </c>
      <c r="P248" s="10"/>
      <c r="Q248" s="12"/>
      <c r="R248" s="5"/>
    </row>
    <row r="249" spans="1:18" x14ac:dyDescent="0.25">
      <c r="A249" s="6" t="s">
        <v>80</v>
      </c>
      <c r="B249" s="7">
        <v>46233</v>
      </c>
      <c r="C249" s="6" t="s">
        <v>20</v>
      </c>
      <c r="D249" s="6" t="s">
        <v>86</v>
      </c>
      <c r="E249" s="8"/>
      <c r="F249" s="14">
        <v>100</v>
      </c>
      <c r="G249" s="14">
        <v>69</v>
      </c>
      <c r="H249" s="7">
        <v>48019</v>
      </c>
      <c r="I249" s="8"/>
      <c r="J249" s="15"/>
      <c r="K249" s="15"/>
      <c r="L249" s="6" t="s">
        <v>82</v>
      </c>
      <c r="M249" s="16">
        <v>0.4</v>
      </c>
      <c r="N249" s="6" t="s">
        <v>83</v>
      </c>
      <c r="O249" s="13" t="s">
        <v>84</v>
      </c>
      <c r="P249" s="14"/>
      <c r="Q249" s="16"/>
      <c r="R249" s="9"/>
    </row>
    <row r="250" spans="1:18" x14ac:dyDescent="0.25">
      <c r="A250" s="2" t="s">
        <v>80</v>
      </c>
      <c r="B250" s="3">
        <v>46233</v>
      </c>
      <c r="C250" s="2" t="s">
        <v>23</v>
      </c>
      <c r="D250" s="2" t="s">
        <v>87</v>
      </c>
      <c r="E250" s="4"/>
      <c r="F250" s="10">
        <v>100</v>
      </c>
      <c r="G250" s="10">
        <v>64.8</v>
      </c>
      <c r="H250" s="3">
        <v>48019</v>
      </c>
      <c r="I250" s="4"/>
      <c r="J250" s="11"/>
      <c r="K250" s="11"/>
      <c r="L250" s="2" t="s">
        <v>82</v>
      </c>
      <c r="M250" s="12">
        <v>0.4</v>
      </c>
      <c r="N250" s="2" t="s">
        <v>83</v>
      </c>
      <c r="O250" s="13" t="s">
        <v>84</v>
      </c>
      <c r="P250" s="10"/>
      <c r="Q250" s="12"/>
      <c r="R250" s="5"/>
    </row>
    <row r="251" spans="1:18" x14ac:dyDescent="0.25">
      <c r="A251" s="6" t="s">
        <v>80</v>
      </c>
      <c r="B251" s="7">
        <v>46233</v>
      </c>
      <c r="C251" s="6" t="s">
        <v>26</v>
      </c>
      <c r="D251" s="6" t="s">
        <v>88</v>
      </c>
      <c r="E251" s="8"/>
      <c r="F251" s="14">
        <v>100</v>
      </c>
      <c r="G251" s="14">
        <v>55</v>
      </c>
      <c r="H251" s="7">
        <v>48019</v>
      </c>
      <c r="I251" s="8"/>
      <c r="J251" s="15"/>
      <c r="K251" s="15"/>
      <c r="L251" s="6" t="s">
        <v>82</v>
      </c>
      <c r="M251" s="16">
        <v>0.4</v>
      </c>
      <c r="N251" s="6" t="s">
        <v>83</v>
      </c>
      <c r="O251" s="13" t="s">
        <v>84</v>
      </c>
      <c r="P251" s="14"/>
      <c r="Q251" s="16"/>
      <c r="R251" s="9"/>
    </row>
    <row r="252" spans="1:18" x14ac:dyDescent="0.25">
      <c r="A252" s="2" t="s">
        <v>80</v>
      </c>
      <c r="B252" s="3">
        <v>46233</v>
      </c>
      <c r="C252" s="2" t="s">
        <v>29</v>
      </c>
      <c r="D252" s="2" t="s">
        <v>89</v>
      </c>
      <c r="E252" s="4"/>
      <c r="F252" s="10">
        <v>100</v>
      </c>
      <c r="G252" s="10">
        <v>98</v>
      </c>
      <c r="H252" s="3">
        <v>48019</v>
      </c>
      <c r="I252" s="4"/>
      <c r="J252" s="11"/>
      <c r="K252" s="11"/>
      <c r="L252" s="2" t="s">
        <v>82</v>
      </c>
      <c r="M252" s="12">
        <v>0.4</v>
      </c>
      <c r="N252" s="2" t="s">
        <v>83</v>
      </c>
      <c r="O252" s="13" t="s">
        <v>84</v>
      </c>
      <c r="P252" s="10"/>
      <c r="Q252" s="12"/>
      <c r="R252" s="5"/>
    </row>
    <row r="253" spans="1:18" x14ac:dyDescent="0.25">
      <c r="A253" s="6" t="s">
        <v>80</v>
      </c>
      <c r="B253" s="7">
        <v>46234</v>
      </c>
      <c r="C253" s="6" t="s">
        <v>9</v>
      </c>
      <c r="D253" s="6" t="s">
        <v>81</v>
      </c>
      <c r="E253" s="8"/>
      <c r="F253" s="14">
        <v>100</v>
      </c>
      <c r="G253" s="14">
        <v>210.6</v>
      </c>
      <c r="H253" s="7">
        <v>48019</v>
      </c>
      <c r="I253" s="8"/>
      <c r="J253" s="15"/>
      <c r="K253" s="15"/>
      <c r="L253" s="6" t="s">
        <v>82</v>
      </c>
      <c r="M253" s="16">
        <v>0.4</v>
      </c>
      <c r="N253" s="6" t="s">
        <v>83</v>
      </c>
      <c r="O253" s="13" t="s">
        <v>84</v>
      </c>
      <c r="P253" s="14"/>
      <c r="Q253" s="16"/>
      <c r="R253" s="9"/>
    </row>
    <row r="254" spans="1:18" x14ac:dyDescent="0.25">
      <c r="A254" s="2" t="s">
        <v>80</v>
      </c>
      <c r="B254" s="3">
        <v>46234</v>
      </c>
      <c r="C254" s="2" t="s">
        <v>14</v>
      </c>
      <c r="D254" s="2" t="s">
        <v>85</v>
      </c>
      <c r="E254" s="4"/>
      <c r="F254" s="10">
        <v>500</v>
      </c>
      <c r="G254" s="10">
        <v>917.5</v>
      </c>
      <c r="H254" s="3">
        <v>48019</v>
      </c>
      <c r="I254" s="4"/>
      <c r="J254" s="11"/>
      <c r="K254" s="11"/>
      <c r="L254" s="2" t="s">
        <v>82</v>
      </c>
      <c r="M254" s="12">
        <v>0.4</v>
      </c>
      <c r="N254" s="2" t="s">
        <v>83</v>
      </c>
      <c r="O254" s="13" t="s">
        <v>84</v>
      </c>
      <c r="P254" s="10"/>
      <c r="Q254" s="12"/>
      <c r="R254" s="5"/>
    </row>
    <row r="255" spans="1:18" x14ac:dyDescent="0.25">
      <c r="A255" s="6" t="s">
        <v>80</v>
      </c>
      <c r="B255" s="7">
        <v>46234</v>
      </c>
      <c r="C255" s="6" t="s">
        <v>17</v>
      </c>
      <c r="D255" s="6" t="s">
        <v>90</v>
      </c>
      <c r="E255" s="8"/>
      <c r="F255" s="14">
        <v>100</v>
      </c>
      <c r="G255" s="14">
        <v>80</v>
      </c>
      <c r="H255" s="7">
        <v>48019</v>
      </c>
      <c r="I255" s="8"/>
      <c r="J255" s="15"/>
      <c r="K255" s="15"/>
      <c r="L255" s="6" t="s">
        <v>82</v>
      </c>
      <c r="M255" s="16">
        <v>0.4</v>
      </c>
      <c r="N255" s="6" t="s">
        <v>83</v>
      </c>
      <c r="O255" s="13" t="s">
        <v>84</v>
      </c>
      <c r="P255" s="14"/>
      <c r="Q255" s="16"/>
      <c r="R255" s="9"/>
    </row>
    <row r="256" spans="1:18" x14ac:dyDescent="0.25">
      <c r="A256" s="2" t="s">
        <v>80</v>
      </c>
      <c r="B256" s="3">
        <v>46234</v>
      </c>
      <c r="C256" s="2" t="s">
        <v>20</v>
      </c>
      <c r="D256" s="2" t="s">
        <v>86</v>
      </c>
      <c r="E256" s="4"/>
      <c r="F256" s="10">
        <v>100</v>
      </c>
      <c r="G256" s="10">
        <v>66</v>
      </c>
      <c r="H256" s="3">
        <v>48019</v>
      </c>
      <c r="I256" s="4"/>
      <c r="J256" s="11"/>
      <c r="K256" s="11"/>
      <c r="L256" s="2" t="s">
        <v>82</v>
      </c>
      <c r="M256" s="12">
        <v>0.4</v>
      </c>
      <c r="N256" s="2" t="s">
        <v>83</v>
      </c>
      <c r="O256" s="13" t="s">
        <v>84</v>
      </c>
      <c r="P256" s="10"/>
      <c r="Q256" s="12"/>
      <c r="R256" s="5"/>
    </row>
    <row r="257" spans="1:18" x14ac:dyDescent="0.25">
      <c r="A257" s="6" t="s">
        <v>80</v>
      </c>
      <c r="B257" s="7">
        <v>46234</v>
      </c>
      <c r="C257" s="6" t="s">
        <v>23</v>
      </c>
      <c r="D257" s="6" t="s">
        <v>87</v>
      </c>
      <c r="E257" s="8"/>
      <c r="F257" s="14">
        <v>100</v>
      </c>
      <c r="G257" s="14">
        <v>62.6</v>
      </c>
      <c r="H257" s="7">
        <v>48019</v>
      </c>
      <c r="I257" s="8"/>
      <c r="J257" s="15"/>
      <c r="K257" s="15"/>
      <c r="L257" s="6" t="s">
        <v>82</v>
      </c>
      <c r="M257" s="16">
        <v>0.4</v>
      </c>
      <c r="N257" s="6" t="s">
        <v>83</v>
      </c>
      <c r="O257" s="13" t="s">
        <v>84</v>
      </c>
      <c r="P257" s="14"/>
      <c r="Q257" s="16"/>
      <c r="R257" s="9"/>
    </row>
    <row r="258" spans="1:18" x14ac:dyDescent="0.25">
      <c r="A258" s="2" t="s">
        <v>80</v>
      </c>
      <c r="B258" s="3">
        <v>46234</v>
      </c>
      <c r="C258" s="2" t="s">
        <v>26</v>
      </c>
      <c r="D258" s="2" t="s">
        <v>88</v>
      </c>
      <c r="E258" s="4"/>
      <c r="F258" s="10">
        <v>100</v>
      </c>
      <c r="G258" s="10">
        <v>53</v>
      </c>
      <c r="H258" s="3">
        <v>48019</v>
      </c>
      <c r="I258" s="4"/>
      <c r="J258" s="11"/>
      <c r="K258" s="11"/>
      <c r="L258" s="2" t="s">
        <v>82</v>
      </c>
      <c r="M258" s="12">
        <v>0.4</v>
      </c>
      <c r="N258" s="2" t="s">
        <v>83</v>
      </c>
      <c r="O258" s="13" t="s">
        <v>84</v>
      </c>
      <c r="P258" s="10"/>
      <c r="Q258" s="12"/>
      <c r="R258" s="5"/>
    </row>
    <row r="259" spans="1:18" x14ac:dyDescent="0.25">
      <c r="A259" s="6" t="s">
        <v>80</v>
      </c>
      <c r="B259" s="7">
        <v>46234</v>
      </c>
      <c r="C259" s="6" t="s">
        <v>29</v>
      </c>
      <c r="D259" s="6" t="s">
        <v>89</v>
      </c>
      <c r="E259" s="8"/>
      <c r="F259" s="14">
        <v>100</v>
      </c>
      <c r="G259" s="14">
        <v>94.25</v>
      </c>
      <c r="H259" s="7">
        <v>48019</v>
      </c>
      <c r="I259" s="8"/>
      <c r="J259" s="15"/>
      <c r="K259" s="15"/>
      <c r="L259" s="6" t="s">
        <v>82</v>
      </c>
      <c r="M259" s="16">
        <v>0.4</v>
      </c>
      <c r="N259" s="6" t="s">
        <v>83</v>
      </c>
      <c r="O259" s="13" t="s">
        <v>84</v>
      </c>
      <c r="P259" s="14"/>
      <c r="Q259" s="16"/>
      <c r="R259" s="9"/>
    </row>
    <row r="260" spans="1:18" x14ac:dyDescent="0.25">
      <c r="A260" s="2" t="s">
        <v>80</v>
      </c>
      <c r="B260" s="3">
        <v>46237</v>
      </c>
      <c r="C260" s="2" t="s">
        <v>9</v>
      </c>
      <c r="D260" s="2" t="s">
        <v>81</v>
      </c>
      <c r="E260" s="4"/>
      <c r="F260" s="10">
        <v>100</v>
      </c>
      <c r="G260" s="10">
        <v>201</v>
      </c>
      <c r="H260" s="3">
        <v>48019</v>
      </c>
      <c r="I260" s="4"/>
      <c r="J260" s="11"/>
      <c r="K260" s="11"/>
      <c r="L260" s="2" t="s">
        <v>82</v>
      </c>
      <c r="M260" s="12">
        <v>0.4</v>
      </c>
      <c r="N260" s="2" t="s">
        <v>83</v>
      </c>
      <c r="O260" s="13" t="s">
        <v>84</v>
      </c>
      <c r="P260" s="10"/>
      <c r="Q260" s="12"/>
      <c r="R260" s="5"/>
    </row>
    <row r="261" spans="1:18" x14ac:dyDescent="0.25">
      <c r="A261" s="6" t="s">
        <v>80</v>
      </c>
      <c r="B261" s="7">
        <v>46237</v>
      </c>
      <c r="C261" s="6" t="s">
        <v>14</v>
      </c>
      <c r="D261" s="6" t="s">
        <v>85</v>
      </c>
      <c r="E261" s="8"/>
      <c r="F261" s="14">
        <v>500</v>
      </c>
      <c r="G261" s="14">
        <v>820</v>
      </c>
      <c r="H261" s="7">
        <v>48019</v>
      </c>
      <c r="I261" s="8"/>
      <c r="J261" s="15"/>
      <c r="K261" s="15"/>
      <c r="L261" s="6" t="s">
        <v>82</v>
      </c>
      <c r="M261" s="16">
        <v>0.4</v>
      </c>
      <c r="N261" s="6" t="s">
        <v>83</v>
      </c>
      <c r="O261" s="13" t="s">
        <v>84</v>
      </c>
      <c r="P261" s="14"/>
      <c r="Q261" s="16"/>
      <c r="R261" s="9"/>
    </row>
    <row r="262" spans="1:18" x14ac:dyDescent="0.25">
      <c r="A262" s="2" t="s">
        <v>80</v>
      </c>
      <c r="B262" s="3">
        <v>46237</v>
      </c>
      <c r="C262" s="2" t="s">
        <v>17</v>
      </c>
      <c r="D262" s="2" t="s">
        <v>90</v>
      </c>
      <c r="E262" s="4"/>
      <c r="F262" s="10">
        <v>100</v>
      </c>
      <c r="G262" s="10">
        <v>74</v>
      </c>
      <c r="H262" s="3">
        <v>48019</v>
      </c>
      <c r="I262" s="4"/>
      <c r="J262" s="11"/>
      <c r="K262" s="11"/>
      <c r="L262" s="2" t="s">
        <v>82</v>
      </c>
      <c r="M262" s="12">
        <v>0.4</v>
      </c>
      <c r="N262" s="2" t="s">
        <v>83</v>
      </c>
      <c r="O262" s="13" t="s">
        <v>84</v>
      </c>
      <c r="P262" s="10"/>
      <c r="Q262" s="12"/>
      <c r="R262" s="5"/>
    </row>
    <row r="263" spans="1:18" x14ac:dyDescent="0.25">
      <c r="A263" s="6" t="s">
        <v>80</v>
      </c>
      <c r="B263" s="7">
        <v>46237</v>
      </c>
      <c r="C263" s="6" t="s">
        <v>20</v>
      </c>
      <c r="D263" s="6" t="s">
        <v>86</v>
      </c>
      <c r="E263" s="8"/>
      <c r="F263" s="14">
        <v>100</v>
      </c>
      <c r="G263" s="14">
        <v>57</v>
      </c>
      <c r="H263" s="7">
        <v>48019</v>
      </c>
      <c r="I263" s="8"/>
      <c r="J263" s="15"/>
      <c r="K263" s="15"/>
      <c r="L263" s="6" t="s">
        <v>82</v>
      </c>
      <c r="M263" s="16">
        <v>0.4</v>
      </c>
      <c r="N263" s="6" t="s">
        <v>83</v>
      </c>
      <c r="O263" s="13" t="s">
        <v>84</v>
      </c>
      <c r="P263" s="14"/>
      <c r="Q263" s="16"/>
      <c r="R263" s="9"/>
    </row>
    <row r="264" spans="1:18" x14ac:dyDescent="0.25">
      <c r="A264" s="2" t="s">
        <v>80</v>
      </c>
      <c r="B264" s="3">
        <v>46237</v>
      </c>
      <c r="C264" s="2" t="s">
        <v>23</v>
      </c>
      <c r="D264" s="2" t="s">
        <v>87</v>
      </c>
      <c r="E264" s="4"/>
      <c r="F264" s="10">
        <v>100</v>
      </c>
      <c r="G264" s="10">
        <v>56</v>
      </c>
      <c r="H264" s="3">
        <v>48019</v>
      </c>
      <c r="I264" s="4"/>
      <c r="J264" s="11"/>
      <c r="K264" s="11"/>
      <c r="L264" s="2" t="s">
        <v>82</v>
      </c>
      <c r="M264" s="12">
        <v>0.4</v>
      </c>
      <c r="N264" s="2" t="s">
        <v>83</v>
      </c>
      <c r="O264" s="13" t="s">
        <v>84</v>
      </c>
      <c r="P264" s="10"/>
      <c r="Q264" s="12"/>
      <c r="R264" s="5"/>
    </row>
    <row r="265" spans="1:18" x14ac:dyDescent="0.25">
      <c r="A265" s="6" t="s">
        <v>80</v>
      </c>
      <c r="B265" s="7">
        <v>46237</v>
      </c>
      <c r="C265" s="6" t="s">
        <v>26</v>
      </c>
      <c r="D265" s="6" t="s">
        <v>88</v>
      </c>
      <c r="E265" s="8"/>
      <c r="F265" s="14">
        <v>100</v>
      </c>
      <c r="G265" s="14">
        <v>47</v>
      </c>
      <c r="H265" s="7">
        <v>48019</v>
      </c>
      <c r="I265" s="8"/>
      <c r="J265" s="15"/>
      <c r="K265" s="15"/>
      <c r="L265" s="6" t="s">
        <v>82</v>
      </c>
      <c r="M265" s="16">
        <v>0.4</v>
      </c>
      <c r="N265" s="6" t="s">
        <v>83</v>
      </c>
      <c r="O265" s="13" t="s">
        <v>84</v>
      </c>
      <c r="P265" s="14"/>
      <c r="Q265" s="16"/>
      <c r="R265" s="9"/>
    </row>
    <row r="266" spans="1:18" x14ac:dyDescent="0.25">
      <c r="A266" s="2" t="s">
        <v>80</v>
      </c>
      <c r="B266" s="3">
        <v>46237</v>
      </c>
      <c r="C266" s="2" t="s">
        <v>29</v>
      </c>
      <c r="D266" s="2" t="s">
        <v>89</v>
      </c>
      <c r="E266" s="4"/>
      <c r="F266" s="10">
        <v>100</v>
      </c>
      <c r="G266" s="10">
        <v>83</v>
      </c>
      <c r="H266" s="3">
        <v>48019</v>
      </c>
      <c r="I266" s="4"/>
      <c r="J266" s="11"/>
      <c r="K266" s="11"/>
      <c r="L266" s="2" t="s">
        <v>82</v>
      </c>
      <c r="M266" s="12">
        <v>0.4</v>
      </c>
      <c r="N266" s="2" t="s">
        <v>83</v>
      </c>
      <c r="O266" s="13" t="s">
        <v>84</v>
      </c>
      <c r="P266" s="10"/>
      <c r="Q266" s="12"/>
      <c r="R266" s="5"/>
    </row>
    <row r="267" spans="1:18" x14ac:dyDescent="0.25">
      <c r="A267" s="6" t="s">
        <v>80</v>
      </c>
      <c r="B267" s="7">
        <v>46238</v>
      </c>
      <c r="C267" s="6" t="s">
        <v>9</v>
      </c>
      <c r="D267" s="6" t="s">
        <v>81</v>
      </c>
      <c r="E267" s="8"/>
      <c r="F267" s="14">
        <v>100</v>
      </c>
      <c r="G267" s="14">
        <v>197</v>
      </c>
      <c r="H267" s="7">
        <v>48019</v>
      </c>
      <c r="I267" s="8"/>
      <c r="J267" s="15"/>
      <c r="K267" s="15"/>
      <c r="L267" s="6" t="s">
        <v>82</v>
      </c>
      <c r="M267" s="16">
        <v>0.4</v>
      </c>
      <c r="N267" s="6" t="s">
        <v>83</v>
      </c>
      <c r="O267" s="13" t="s">
        <v>84</v>
      </c>
      <c r="P267" s="14"/>
      <c r="Q267" s="16"/>
      <c r="R267" s="9"/>
    </row>
    <row r="268" spans="1:18" x14ac:dyDescent="0.25">
      <c r="A268" s="2" t="s">
        <v>80</v>
      </c>
      <c r="B268" s="3">
        <v>46238</v>
      </c>
      <c r="C268" s="2" t="s">
        <v>14</v>
      </c>
      <c r="D268" s="2" t="s">
        <v>85</v>
      </c>
      <c r="E268" s="4"/>
      <c r="F268" s="10">
        <v>500</v>
      </c>
      <c r="G268" s="10">
        <v>783.33</v>
      </c>
      <c r="H268" s="3">
        <v>48019</v>
      </c>
      <c r="I268" s="4"/>
      <c r="J268" s="11"/>
      <c r="K268" s="11"/>
      <c r="L268" s="2" t="s">
        <v>82</v>
      </c>
      <c r="M268" s="12">
        <v>0.4</v>
      </c>
      <c r="N268" s="2" t="s">
        <v>83</v>
      </c>
      <c r="O268" s="13" t="s">
        <v>84</v>
      </c>
      <c r="P268" s="10"/>
      <c r="Q268" s="12"/>
      <c r="R268" s="5"/>
    </row>
    <row r="269" spans="1:18" x14ac:dyDescent="0.25">
      <c r="A269" s="6" t="s">
        <v>80</v>
      </c>
      <c r="B269" s="7">
        <v>46238</v>
      </c>
      <c r="C269" s="6" t="s">
        <v>17</v>
      </c>
      <c r="D269" s="6" t="s">
        <v>90</v>
      </c>
      <c r="E269" s="8"/>
      <c r="F269" s="14">
        <v>100</v>
      </c>
      <c r="G269" s="14">
        <v>72</v>
      </c>
      <c r="H269" s="7">
        <v>48019</v>
      </c>
      <c r="I269" s="8"/>
      <c r="J269" s="15"/>
      <c r="K269" s="15"/>
      <c r="L269" s="6" t="s">
        <v>82</v>
      </c>
      <c r="M269" s="16">
        <v>0.4</v>
      </c>
      <c r="N269" s="6" t="s">
        <v>83</v>
      </c>
      <c r="O269" s="13" t="s">
        <v>84</v>
      </c>
      <c r="P269" s="14"/>
      <c r="Q269" s="16"/>
      <c r="R269" s="9"/>
    </row>
    <row r="270" spans="1:18" x14ac:dyDescent="0.25">
      <c r="A270" s="2" t="s">
        <v>80</v>
      </c>
      <c r="B270" s="3">
        <v>46238</v>
      </c>
      <c r="C270" s="2" t="s">
        <v>20</v>
      </c>
      <c r="D270" s="2" t="s">
        <v>86</v>
      </c>
      <c r="E270" s="4"/>
      <c r="F270" s="10">
        <v>100</v>
      </c>
      <c r="G270" s="10">
        <v>56.5</v>
      </c>
      <c r="H270" s="3">
        <v>48019</v>
      </c>
      <c r="I270" s="4"/>
      <c r="J270" s="11"/>
      <c r="K270" s="11"/>
      <c r="L270" s="2" t="s">
        <v>82</v>
      </c>
      <c r="M270" s="12">
        <v>0.4</v>
      </c>
      <c r="N270" s="2" t="s">
        <v>83</v>
      </c>
      <c r="O270" s="13" t="s">
        <v>84</v>
      </c>
      <c r="P270" s="10"/>
      <c r="Q270" s="12"/>
      <c r="R270" s="5"/>
    </row>
    <row r="271" spans="1:18" x14ac:dyDescent="0.25">
      <c r="A271" s="6" t="s">
        <v>80</v>
      </c>
      <c r="B271" s="7">
        <v>46238</v>
      </c>
      <c r="C271" s="6" t="s">
        <v>23</v>
      </c>
      <c r="D271" s="6" t="s">
        <v>87</v>
      </c>
      <c r="E271" s="8"/>
      <c r="F271" s="14">
        <v>100</v>
      </c>
      <c r="G271" s="14">
        <v>55.75</v>
      </c>
      <c r="H271" s="7">
        <v>48019</v>
      </c>
      <c r="I271" s="8"/>
      <c r="J271" s="15"/>
      <c r="K271" s="15"/>
      <c r="L271" s="6" t="s">
        <v>82</v>
      </c>
      <c r="M271" s="16">
        <v>0.4</v>
      </c>
      <c r="N271" s="6" t="s">
        <v>83</v>
      </c>
      <c r="O271" s="13" t="s">
        <v>84</v>
      </c>
      <c r="P271" s="14"/>
      <c r="Q271" s="16"/>
      <c r="R271" s="9"/>
    </row>
    <row r="272" spans="1:18" x14ac:dyDescent="0.25">
      <c r="A272" s="2" t="s">
        <v>80</v>
      </c>
      <c r="B272" s="3">
        <v>46238</v>
      </c>
      <c r="C272" s="2" t="s">
        <v>26</v>
      </c>
      <c r="D272" s="2" t="s">
        <v>88</v>
      </c>
      <c r="E272" s="4"/>
      <c r="F272" s="10">
        <v>100</v>
      </c>
      <c r="G272" s="10">
        <v>46.75</v>
      </c>
      <c r="H272" s="3">
        <v>48019</v>
      </c>
      <c r="I272" s="4"/>
      <c r="J272" s="11"/>
      <c r="K272" s="11"/>
      <c r="L272" s="2" t="s">
        <v>82</v>
      </c>
      <c r="M272" s="12">
        <v>0.4</v>
      </c>
      <c r="N272" s="2" t="s">
        <v>83</v>
      </c>
      <c r="O272" s="13" t="s">
        <v>84</v>
      </c>
      <c r="P272" s="10"/>
      <c r="Q272" s="12"/>
      <c r="R272" s="5"/>
    </row>
    <row r="273" spans="1:18" x14ac:dyDescent="0.25">
      <c r="A273" s="6" t="s">
        <v>80</v>
      </c>
      <c r="B273" s="7">
        <v>46238</v>
      </c>
      <c r="C273" s="6" t="s">
        <v>29</v>
      </c>
      <c r="D273" s="6" t="s">
        <v>89</v>
      </c>
      <c r="E273" s="8"/>
      <c r="F273" s="14">
        <v>100</v>
      </c>
      <c r="G273" s="14">
        <v>83.43</v>
      </c>
      <c r="H273" s="7">
        <v>48019</v>
      </c>
      <c r="I273" s="8"/>
      <c r="J273" s="15"/>
      <c r="K273" s="15"/>
      <c r="L273" s="6" t="s">
        <v>82</v>
      </c>
      <c r="M273" s="16">
        <v>0.4</v>
      </c>
      <c r="N273" s="6" t="s">
        <v>83</v>
      </c>
      <c r="O273" s="13" t="s">
        <v>84</v>
      </c>
      <c r="P273" s="14"/>
      <c r="Q273" s="16"/>
      <c r="R273" s="9"/>
    </row>
    <row r="274" spans="1:18" x14ac:dyDescent="0.25">
      <c r="A274" s="2" t="s">
        <v>80</v>
      </c>
      <c r="B274" s="3">
        <v>46239</v>
      </c>
      <c r="C274" s="2" t="s">
        <v>9</v>
      </c>
      <c r="D274" s="2" t="s">
        <v>81</v>
      </c>
      <c r="E274" s="4"/>
      <c r="F274" s="10">
        <v>100</v>
      </c>
      <c r="G274" s="10">
        <v>193</v>
      </c>
      <c r="H274" s="3">
        <v>48019</v>
      </c>
      <c r="I274" s="4"/>
      <c r="J274" s="11"/>
      <c r="K274" s="11"/>
      <c r="L274" s="2" t="s">
        <v>82</v>
      </c>
      <c r="M274" s="12">
        <v>0.4</v>
      </c>
      <c r="N274" s="2" t="s">
        <v>83</v>
      </c>
      <c r="O274" s="13" t="s">
        <v>84</v>
      </c>
      <c r="P274" s="10"/>
      <c r="Q274" s="12"/>
      <c r="R274" s="5"/>
    </row>
    <row r="275" spans="1:18" x14ac:dyDescent="0.25">
      <c r="A275" s="6" t="s">
        <v>80</v>
      </c>
      <c r="B275" s="7">
        <v>46239</v>
      </c>
      <c r="C275" s="6" t="s">
        <v>14</v>
      </c>
      <c r="D275" s="6" t="s">
        <v>85</v>
      </c>
      <c r="E275" s="8"/>
      <c r="F275" s="14">
        <v>500</v>
      </c>
      <c r="G275" s="14">
        <v>746.67</v>
      </c>
      <c r="H275" s="7">
        <v>48019</v>
      </c>
      <c r="I275" s="8"/>
      <c r="J275" s="15"/>
      <c r="K275" s="15"/>
      <c r="L275" s="6" t="s">
        <v>82</v>
      </c>
      <c r="M275" s="16">
        <v>0.4</v>
      </c>
      <c r="N275" s="6" t="s">
        <v>83</v>
      </c>
      <c r="O275" s="13" t="s">
        <v>84</v>
      </c>
      <c r="P275" s="14"/>
      <c r="Q275" s="16"/>
      <c r="R275" s="9"/>
    </row>
    <row r="276" spans="1:18" x14ac:dyDescent="0.25">
      <c r="A276" s="2" t="s">
        <v>80</v>
      </c>
      <c r="B276" s="3">
        <v>46239</v>
      </c>
      <c r="C276" s="2" t="s">
        <v>17</v>
      </c>
      <c r="D276" s="2" t="s">
        <v>90</v>
      </c>
      <c r="E276" s="4"/>
      <c r="F276" s="10">
        <v>100</v>
      </c>
      <c r="G276" s="10">
        <v>70</v>
      </c>
      <c r="H276" s="3">
        <v>48019</v>
      </c>
      <c r="I276" s="4"/>
      <c r="J276" s="11"/>
      <c r="K276" s="11"/>
      <c r="L276" s="2" t="s">
        <v>82</v>
      </c>
      <c r="M276" s="12">
        <v>0.4</v>
      </c>
      <c r="N276" s="2" t="s">
        <v>83</v>
      </c>
      <c r="O276" s="13" t="s">
        <v>84</v>
      </c>
      <c r="P276" s="10"/>
      <c r="Q276" s="12"/>
      <c r="R276" s="5"/>
    </row>
    <row r="277" spans="1:18" x14ac:dyDescent="0.25">
      <c r="A277" s="6" t="s">
        <v>80</v>
      </c>
      <c r="B277" s="7">
        <v>46239</v>
      </c>
      <c r="C277" s="6" t="s">
        <v>20</v>
      </c>
      <c r="D277" s="6" t="s">
        <v>86</v>
      </c>
      <c r="E277" s="8"/>
      <c r="F277" s="14">
        <v>100</v>
      </c>
      <c r="G277" s="14">
        <v>56</v>
      </c>
      <c r="H277" s="7">
        <v>48019</v>
      </c>
      <c r="I277" s="8"/>
      <c r="J277" s="15"/>
      <c r="K277" s="15"/>
      <c r="L277" s="6" t="s">
        <v>82</v>
      </c>
      <c r="M277" s="16">
        <v>0.4</v>
      </c>
      <c r="N277" s="6" t="s">
        <v>83</v>
      </c>
      <c r="O277" s="13" t="s">
        <v>84</v>
      </c>
      <c r="P277" s="14"/>
      <c r="Q277" s="16"/>
      <c r="R277" s="9"/>
    </row>
    <row r="278" spans="1:18" x14ac:dyDescent="0.25">
      <c r="A278" s="2" t="s">
        <v>80</v>
      </c>
      <c r="B278" s="3">
        <v>46239</v>
      </c>
      <c r="C278" s="2" t="s">
        <v>23</v>
      </c>
      <c r="D278" s="2" t="s">
        <v>87</v>
      </c>
      <c r="E278" s="4"/>
      <c r="F278" s="10">
        <v>100</v>
      </c>
      <c r="G278" s="10">
        <v>55.5</v>
      </c>
      <c r="H278" s="3">
        <v>48019</v>
      </c>
      <c r="I278" s="4"/>
      <c r="J278" s="11"/>
      <c r="K278" s="11"/>
      <c r="L278" s="2" t="s">
        <v>82</v>
      </c>
      <c r="M278" s="12">
        <v>0.4</v>
      </c>
      <c r="N278" s="2" t="s">
        <v>83</v>
      </c>
      <c r="O278" s="13" t="s">
        <v>84</v>
      </c>
      <c r="P278" s="10"/>
      <c r="Q278" s="12"/>
      <c r="R278" s="5"/>
    </row>
    <row r="279" spans="1:18" x14ac:dyDescent="0.25">
      <c r="A279" s="6" t="s">
        <v>80</v>
      </c>
      <c r="B279" s="7">
        <v>46239</v>
      </c>
      <c r="C279" s="6" t="s">
        <v>26</v>
      </c>
      <c r="D279" s="6" t="s">
        <v>88</v>
      </c>
      <c r="E279" s="8"/>
      <c r="F279" s="14">
        <v>100</v>
      </c>
      <c r="G279" s="14">
        <v>46.5</v>
      </c>
      <c r="H279" s="7">
        <v>48019</v>
      </c>
      <c r="I279" s="8"/>
      <c r="J279" s="15"/>
      <c r="K279" s="15"/>
      <c r="L279" s="6" t="s">
        <v>82</v>
      </c>
      <c r="M279" s="16">
        <v>0.4</v>
      </c>
      <c r="N279" s="6" t="s">
        <v>83</v>
      </c>
      <c r="O279" s="13" t="s">
        <v>84</v>
      </c>
      <c r="P279" s="14"/>
      <c r="Q279" s="16"/>
      <c r="R279" s="9"/>
    </row>
    <row r="280" spans="1:18" x14ac:dyDescent="0.25">
      <c r="A280" s="2" t="s">
        <v>80</v>
      </c>
      <c r="B280" s="3">
        <v>46239</v>
      </c>
      <c r="C280" s="2" t="s">
        <v>29</v>
      </c>
      <c r="D280" s="2" t="s">
        <v>89</v>
      </c>
      <c r="E280" s="4"/>
      <c r="F280" s="10">
        <v>100</v>
      </c>
      <c r="G280" s="10">
        <v>83.86</v>
      </c>
      <c r="H280" s="3">
        <v>48019</v>
      </c>
      <c r="I280" s="4"/>
      <c r="J280" s="11"/>
      <c r="K280" s="11"/>
      <c r="L280" s="2" t="s">
        <v>82</v>
      </c>
      <c r="M280" s="12">
        <v>0.4</v>
      </c>
      <c r="N280" s="2" t="s">
        <v>83</v>
      </c>
      <c r="O280" s="13" t="s">
        <v>84</v>
      </c>
      <c r="P280" s="10"/>
      <c r="Q280" s="12"/>
      <c r="R280" s="5"/>
    </row>
    <row r="281" spans="1:18" x14ac:dyDescent="0.25">
      <c r="A281" s="6" t="s">
        <v>80</v>
      </c>
      <c r="B281" s="7">
        <v>46240</v>
      </c>
      <c r="C281" s="6" t="s">
        <v>9</v>
      </c>
      <c r="D281" s="6" t="s">
        <v>81</v>
      </c>
      <c r="E281" s="8"/>
      <c r="F281" s="14">
        <v>100</v>
      </c>
      <c r="G281" s="14">
        <v>189</v>
      </c>
      <c r="H281" s="7">
        <v>48019</v>
      </c>
      <c r="I281" s="8"/>
      <c r="J281" s="15"/>
      <c r="K281" s="15"/>
      <c r="L281" s="6" t="s">
        <v>82</v>
      </c>
      <c r="M281" s="16">
        <v>0.4</v>
      </c>
      <c r="N281" s="6" t="s">
        <v>83</v>
      </c>
      <c r="O281" s="13" t="s">
        <v>84</v>
      </c>
      <c r="P281" s="14"/>
      <c r="Q281" s="16"/>
      <c r="R281" s="9"/>
    </row>
    <row r="282" spans="1:18" x14ac:dyDescent="0.25">
      <c r="A282" s="2" t="s">
        <v>80</v>
      </c>
      <c r="B282" s="3">
        <v>46240</v>
      </c>
      <c r="C282" s="2" t="s">
        <v>14</v>
      </c>
      <c r="D282" s="2" t="s">
        <v>85</v>
      </c>
      <c r="E282" s="4"/>
      <c r="F282" s="10">
        <v>500</v>
      </c>
      <c r="G282" s="10">
        <v>710</v>
      </c>
      <c r="H282" s="3">
        <v>48019</v>
      </c>
      <c r="I282" s="4"/>
      <c r="J282" s="11"/>
      <c r="K282" s="11"/>
      <c r="L282" s="2" t="s">
        <v>82</v>
      </c>
      <c r="M282" s="12">
        <v>0.4</v>
      </c>
      <c r="N282" s="2" t="s">
        <v>83</v>
      </c>
      <c r="O282" s="13" t="s">
        <v>84</v>
      </c>
      <c r="P282" s="10"/>
      <c r="Q282" s="12"/>
      <c r="R282" s="5"/>
    </row>
    <row r="283" spans="1:18" x14ac:dyDescent="0.25">
      <c r="A283" s="6" t="s">
        <v>80</v>
      </c>
      <c r="B283" s="7">
        <v>46240</v>
      </c>
      <c r="C283" s="6" t="s">
        <v>17</v>
      </c>
      <c r="D283" s="6" t="s">
        <v>90</v>
      </c>
      <c r="E283" s="8"/>
      <c r="F283" s="14">
        <v>100</v>
      </c>
      <c r="G283" s="14">
        <v>68</v>
      </c>
      <c r="H283" s="7">
        <v>48019</v>
      </c>
      <c r="I283" s="8"/>
      <c r="J283" s="15"/>
      <c r="K283" s="15"/>
      <c r="L283" s="6" t="s">
        <v>82</v>
      </c>
      <c r="M283" s="16">
        <v>0.4</v>
      </c>
      <c r="N283" s="6" t="s">
        <v>83</v>
      </c>
      <c r="O283" s="13" t="s">
        <v>84</v>
      </c>
      <c r="P283" s="14"/>
      <c r="Q283" s="16"/>
      <c r="R283" s="9"/>
    </row>
    <row r="284" spans="1:18" x14ac:dyDescent="0.25">
      <c r="A284" s="2" t="s">
        <v>80</v>
      </c>
      <c r="B284" s="3">
        <v>46240</v>
      </c>
      <c r="C284" s="2" t="s">
        <v>20</v>
      </c>
      <c r="D284" s="2" t="s">
        <v>86</v>
      </c>
      <c r="E284" s="4"/>
      <c r="F284" s="10">
        <v>100</v>
      </c>
      <c r="G284" s="10">
        <v>55.5</v>
      </c>
      <c r="H284" s="3">
        <v>48019</v>
      </c>
      <c r="I284" s="4"/>
      <c r="J284" s="11"/>
      <c r="K284" s="11"/>
      <c r="L284" s="2" t="s">
        <v>82</v>
      </c>
      <c r="M284" s="12">
        <v>0.4</v>
      </c>
      <c r="N284" s="2" t="s">
        <v>83</v>
      </c>
      <c r="O284" s="13" t="s">
        <v>84</v>
      </c>
      <c r="P284" s="10"/>
      <c r="Q284" s="12"/>
      <c r="R284" s="5"/>
    </row>
    <row r="285" spans="1:18" x14ac:dyDescent="0.25">
      <c r="A285" s="6" t="s">
        <v>80</v>
      </c>
      <c r="B285" s="7">
        <v>46240</v>
      </c>
      <c r="C285" s="6" t="s">
        <v>23</v>
      </c>
      <c r="D285" s="6" t="s">
        <v>87</v>
      </c>
      <c r="E285" s="8"/>
      <c r="F285" s="14">
        <v>100</v>
      </c>
      <c r="G285" s="14">
        <v>55.25</v>
      </c>
      <c r="H285" s="7">
        <v>48019</v>
      </c>
      <c r="I285" s="8"/>
      <c r="J285" s="15"/>
      <c r="K285" s="15"/>
      <c r="L285" s="6" t="s">
        <v>82</v>
      </c>
      <c r="M285" s="16">
        <v>0.4</v>
      </c>
      <c r="N285" s="6" t="s">
        <v>83</v>
      </c>
      <c r="O285" s="13" t="s">
        <v>84</v>
      </c>
      <c r="P285" s="14"/>
      <c r="Q285" s="16"/>
      <c r="R285" s="9"/>
    </row>
    <row r="286" spans="1:18" x14ac:dyDescent="0.25">
      <c r="A286" s="2" t="s">
        <v>80</v>
      </c>
      <c r="B286" s="3">
        <v>46240</v>
      </c>
      <c r="C286" s="2" t="s">
        <v>26</v>
      </c>
      <c r="D286" s="2" t="s">
        <v>88</v>
      </c>
      <c r="E286" s="4"/>
      <c r="F286" s="10">
        <v>100</v>
      </c>
      <c r="G286" s="10">
        <v>46.25</v>
      </c>
      <c r="H286" s="3">
        <v>48019</v>
      </c>
      <c r="I286" s="4"/>
      <c r="J286" s="11"/>
      <c r="K286" s="11"/>
      <c r="L286" s="2" t="s">
        <v>82</v>
      </c>
      <c r="M286" s="12">
        <v>0.4</v>
      </c>
      <c r="N286" s="2" t="s">
        <v>83</v>
      </c>
      <c r="O286" s="13" t="s">
        <v>84</v>
      </c>
      <c r="P286" s="10"/>
      <c r="Q286" s="12"/>
      <c r="R286" s="5"/>
    </row>
    <row r="287" spans="1:18" x14ac:dyDescent="0.25">
      <c r="A287" s="6" t="s">
        <v>80</v>
      </c>
      <c r="B287" s="7">
        <v>46240</v>
      </c>
      <c r="C287" s="6" t="s">
        <v>29</v>
      </c>
      <c r="D287" s="6" t="s">
        <v>89</v>
      </c>
      <c r="E287" s="8"/>
      <c r="F287" s="14">
        <v>100</v>
      </c>
      <c r="G287" s="14">
        <v>84.29</v>
      </c>
      <c r="H287" s="7">
        <v>48019</v>
      </c>
      <c r="I287" s="8"/>
      <c r="J287" s="15"/>
      <c r="K287" s="15"/>
      <c r="L287" s="6" t="s">
        <v>82</v>
      </c>
      <c r="M287" s="16">
        <v>0.4</v>
      </c>
      <c r="N287" s="6" t="s">
        <v>83</v>
      </c>
      <c r="O287" s="13" t="s">
        <v>84</v>
      </c>
      <c r="P287" s="14"/>
      <c r="Q287" s="16"/>
      <c r="R287" s="9"/>
    </row>
    <row r="288" spans="1:18" x14ac:dyDescent="0.25">
      <c r="A288" s="2" t="s">
        <v>80</v>
      </c>
      <c r="B288" s="3">
        <v>46241</v>
      </c>
      <c r="C288" s="2" t="s">
        <v>9</v>
      </c>
      <c r="D288" s="2" t="s">
        <v>81</v>
      </c>
      <c r="E288" s="4"/>
      <c r="F288" s="10">
        <v>100</v>
      </c>
      <c r="G288" s="10">
        <v>190.5</v>
      </c>
      <c r="H288" s="3">
        <v>48019</v>
      </c>
      <c r="I288" s="4"/>
      <c r="J288" s="11"/>
      <c r="K288" s="11"/>
      <c r="L288" s="2" t="s">
        <v>82</v>
      </c>
      <c r="M288" s="12">
        <v>0.4</v>
      </c>
      <c r="N288" s="2" t="s">
        <v>83</v>
      </c>
      <c r="O288" s="13" t="s">
        <v>84</v>
      </c>
      <c r="P288" s="10"/>
      <c r="Q288" s="12"/>
      <c r="R288" s="5"/>
    </row>
    <row r="289" spans="1:18" x14ac:dyDescent="0.25">
      <c r="A289" s="6" t="s">
        <v>80</v>
      </c>
      <c r="B289" s="7">
        <v>46241</v>
      </c>
      <c r="C289" s="6" t="s">
        <v>14</v>
      </c>
      <c r="D289" s="6" t="s">
        <v>85</v>
      </c>
      <c r="E289" s="8"/>
      <c r="F289" s="14">
        <v>500</v>
      </c>
      <c r="G289" s="14">
        <v>722.5</v>
      </c>
      <c r="H289" s="7">
        <v>48019</v>
      </c>
      <c r="I289" s="8"/>
      <c r="J289" s="15"/>
      <c r="K289" s="15"/>
      <c r="L289" s="6" t="s">
        <v>82</v>
      </c>
      <c r="M289" s="16">
        <v>0.4</v>
      </c>
      <c r="N289" s="6" t="s">
        <v>83</v>
      </c>
      <c r="O289" s="13" t="s">
        <v>84</v>
      </c>
      <c r="P289" s="14"/>
      <c r="Q289" s="16"/>
      <c r="R289" s="9"/>
    </row>
    <row r="290" spans="1:18" x14ac:dyDescent="0.25">
      <c r="A290" s="2" t="s">
        <v>80</v>
      </c>
      <c r="B290" s="3">
        <v>46241</v>
      </c>
      <c r="C290" s="2" t="s">
        <v>17</v>
      </c>
      <c r="D290" s="2" t="s">
        <v>90</v>
      </c>
      <c r="E290" s="4"/>
      <c r="F290" s="10">
        <v>100</v>
      </c>
      <c r="G290" s="10">
        <v>70</v>
      </c>
      <c r="H290" s="3">
        <v>48019</v>
      </c>
      <c r="I290" s="4"/>
      <c r="J290" s="11"/>
      <c r="K290" s="11"/>
      <c r="L290" s="2" t="s">
        <v>82</v>
      </c>
      <c r="M290" s="12">
        <v>0.4</v>
      </c>
      <c r="N290" s="2" t="s">
        <v>83</v>
      </c>
      <c r="O290" s="13" t="s">
        <v>84</v>
      </c>
      <c r="P290" s="10"/>
      <c r="Q290" s="12"/>
      <c r="R290" s="5"/>
    </row>
    <row r="291" spans="1:18" x14ac:dyDescent="0.25">
      <c r="A291" s="6" t="s">
        <v>80</v>
      </c>
      <c r="B291" s="7">
        <v>46241</v>
      </c>
      <c r="C291" s="6" t="s">
        <v>20</v>
      </c>
      <c r="D291" s="6" t="s">
        <v>86</v>
      </c>
      <c r="E291" s="8"/>
      <c r="F291" s="14">
        <v>100</v>
      </c>
      <c r="G291" s="14">
        <v>55</v>
      </c>
      <c r="H291" s="7">
        <v>48019</v>
      </c>
      <c r="I291" s="8"/>
      <c r="J291" s="15"/>
      <c r="K291" s="15"/>
      <c r="L291" s="6" t="s">
        <v>82</v>
      </c>
      <c r="M291" s="16">
        <v>0.4</v>
      </c>
      <c r="N291" s="6" t="s">
        <v>83</v>
      </c>
      <c r="O291" s="13" t="s">
        <v>84</v>
      </c>
      <c r="P291" s="14"/>
      <c r="Q291" s="16"/>
      <c r="R291" s="9"/>
    </row>
    <row r="292" spans="1:18" x14ac:dyDescent="0.25">
      <c r="A292" s="2" t="s">
        <v>80</v>
      </c>
      <c r="B292" s="3">
        <v>46241</v>
      </c>
      <c r="C292" s="2" t="s">
        <v>23</v>
      </c>
      <c r="D292" s="2" t="s">
        <v>87</v>
      </c>
      <c r="E292" s="4"/>
      <c r="F292" s="10">
        <v>100</v>
      </c>
      <c r="G292" s="10">
        <v>55</v>
      </c>
      <c r="H292" s="3">
        <v>48019</v>
      </c>
      <c r="I292" s="4"/>
      <c r="J292" s="11"/>
      <c r="K292" s="11"/>
      <c r="L292" s="2" t="s">
        <v>82</v>
      </c>
      <c r="M292" s="12">
        <v>0.4</v>
      </c>
      <c r="N292" s="2" t="s">
        <v>83</v>
      </c>
      <c r="O292" s="13" t="s">
        <v>84</v>
      </c>
      <c r="P292" s="10"/>
      <c r="Q292" s="12"/>
      <c r="R292" s="5"/>
    </row>
    <row r="293" spans="1:18" x14ac:dyDescent="0.25">
      <c r="A293" s="6" t="s">
        <v>80</v>
      </c>
      <c r="B293" s="7">
        <v>46241</v>
      </c>
      <c r="C293" s="6" t="s">
        <v>26</v>
      </c>
      <c r="D293" s="6" t="s">
        <v>88</v>
      </c>
      <c r="E293" s="8"/>
      <c r="F293" s="14">
        <v>100</v>
      </c>
      <c r="G293" s="14">
        <v>46</v>
      </c>
      <c r="H293" s="7">
        <v>48019</v>
      </c>
      <c r="I293" s="8"/>
      <c r="J293" s="15"/>
      <c r="K293" s="15"/>
      <c r="L293" s="6" t="s">
        <v>82</v>
      </c>
      <c r="M293" s="16">
        <v>0.4</v>
      </c>
      <c r="N293" s="6" t="s">
        <v>83</v>
      </c>
      <c r="O293" s="13" t="s">
        <v>84</v>
      </c>
      <c r="P293" s="14"/>
      <c r="Q293" s="16"/>
      <c r="R293" s="9"/>
    </row>
    <row r="294" spans="1:18" x14ac:dyDescent="0.25">
      <c r="A294" s="2" t="s">
        <v>80</v>
      </c>
      <c r="B294" s="3">
        <v>46241</v>
      </c>
      <c r="C294" s="2" t="s">
        <v>29</v>
      </c>
      <c r="D294" s="2" t="s">
        <v>89</v>
      </c>
      <c r="E294" s="4"/>
      <c r="F294" s="10">
        <v>100</v>
      </c>
      <c r="G294" s="10">
        <v>84.71</v>
      </c>
      <c r="H294" s="3">
        <v>48019</v>
      </c>
      <c r="I294" s="4"/>
      <c r="J294" s="11"/>
      <c r="K294" s="11"/>
      <c r="L294" s="2" t="s">
        <v>82</v>
      </c>
      <c r="M294" s="12">
        <v>0.4</v>
      </c>
      <c r="N294" s="2" t="s">
        <v>83</v>
      </c>
      <c r="O294" s="13" t="s">
        <v>84</v>
      </c>
      <c r="P294" s="10"/>
      <c r="Q294" s="12"/>
      <c r="R294" s="5"/>
    </row>
    <row r="295" spans="1:18" x14ac:dyDescent="0.25">
      <c r="A295" s="6" t="s">
        <v>80</v>
      </c>
      <c r="B295" s="7">
        <v>46244</v>
      </c>
      <c r="C295" s="6" t="s">
        <v>9</v>
      </c>
      <c r="D295" s="6" t="s">
        <v>81</v>
      </c>
      <c r="E295" s="8"/>
      <c r="F295" s="14">
        <v>100</v>
      </c>
      <c r="G295" s="14">
        <v>195</v>
      </c>
      <c r="H295" s="7">
        <v>48019</v>
      </c>
      <c r="I295" s="8"/>
      <c r="J295" s="15"/>
      <c r="K295" s="15"/>
      <c r="L295" s="6" t="s">
        <v>82</v>
      </c>
      <c r="M295" s="16">
        <v>0.4</v>
      </c>
      <c r="N295" s="6" t="s">
        <v>83</v>
      </c>
      <c r="O295" s="13" t="s">
        <v>84</v>
      </c>
      <c r="P295" s="14"/>
      <c r="Q295" s="16"/>
      <c r="R295" s="9"/>
    </row>
    <row r="296" spans="1:18" x14ac:dyDescent="0.25">
      <c r="A296" s="2" t="s">
        <v>80</v>
      </c>
      <c r="B296" s="3">
        <v>46244</v>
      </c>
      <c r="C296" s="2" t="s">
        <v>14</v>
      </c>
      <c r="D296" s="2" t="s">
        <v>85</v>
      </c>
      <c r="E296" s="4"/>
      <c r="F296" s="10">
        <v>500</v>
      </c>
      <c r="G296" s="10">
        <v>760</v>
      </c>
      <c r="H296" s="3">
        <v>48019</v>
      </c>
      <c r="I296" s="4"/>
      <c r="J296" s="11"/>
      <c r="K296" s="11"/>
      <c r="L296" s="2" t="s">
        <v>82</v>
      </c>
      <c r="M296" s="12">
        <v>0.4</v>
      </c>
      <c r="N296" s="2" t="s">
        <v>83</v>
      </c>
      <c r="O296" s="13" t="s">
        <v>84</v>
      </c>
      <c r="P296" s="10"/>
      <c r="Q296" s="12"/>
      <c r="R296" s="5"/>
    </row>
    <row r="297" spans="1:18" x14ac:dyDescent="0.25">
      <c r="A297" s="6" t="s">
        <v>80</v>
      </c>
      <c r="B297" s="7">
        <v>46244</v>
      </c>
      <c r="C297" s="6" t="s">
        <v>17</v>
      </c>
      <c r="D297" s="6" t="s">
        <v>90</v>
      </c>
      <c r="E297" s="8"/>
      <c r="F297" s="14">
        <v>100</v>
      </c>
      <c r="G297" s="14">
        <v>76</v>
      </c>
      <c r="H297" s="7">
        <v>48019</v>
      </c>
      <c r="I297" s="8"/>
      <c r="J297" s="15"/>
      <c r="K297" s="15"/>
      <c r="L297" s="6" t="s">
        <v>82</v>
      </c>
      <c r="M297" s="16">
        <v>0.4</v>
      </c>
      <c r="N297" s="6" t="s">
        <v>83</v>
      </c>
      <c r="O297" s="13" t="s">
        <v>84</v>
      </c>
      <c r="P297" s="14"/>
      <c r="Q297" s="16"/>
      <c r="R297" s="9"/>
    </row>
    <row r="298" spans="1:18" x14ac:dyDescent="0.25">
      <c r="A298" s="2" t="s">
        <v>80</v>
      </c>
      <c r="B298" s="3">
        <v>46244</v>
      </c>
      <c r="C298" s="2" t="s">
        <v>20</v>
      </c>
      <c r="D298" s="2" t="s">
        <v>86</v>
      </c>
      <c r="E298" s="4"/>
      <c r="F298" s="10">
        <v>100</v>
      </c>
      <c r="G298" s="10">
        <v>57</v>
      </c>
      <c r="H298" s="3">
        <v>48019</v>
      </c>
      <c r="I298" s="4"/>
      <c r="J298" s="11"/>
      <c r="K298" s="11"/>
      <c r="L298" s="2" t="s">
        <v>82</v>
      </c>
      <c r="M298" s="12">
        <v>0.4</v>
      </c>
      <c r="N298" s="2" t="s">
        <v>83</v>
      </c>
      <c r="O298" s="13" t="s">
        <v>84</v>
      </c>
      <c r="P298" s="10"/>
      <c r="Q298" s="12"/>
      <c r="R298" s="5"/>
    </row>
    <row r="299" spans="1:18" x14ac:dyDescent="0.25">
      <c r="A299" s="6" t="s">
        <v>80</v>
      </c>
      <c r="B299" s="7">
        <v>46244</v>
      </c>
      <c r="C299" s="6" t="s">
        <v>23</v>
      </c>
      <c r="D299" s="6" t="s">
        <v>87</v>
      </c>
      <c r="E299" s="8"/>
      <c r="F299" s="14">
        <v>100</v>
      </c>
      <c r="G299" s="14">
        <v>53</v>
      </c>
      <c r="H299" s="7">
        <v>48019</v>
      </c>
      <c r="I299" s="8"/>
      <c r="J299" s="15"/>
      <c r="K299" s="15"/>
      <c r="L299" s="6" t="s">
        <v>82</v>
      </c>
      <c r="M299" s="16">
        <v>0.4</v>
      </c>
      <c r="N299" s="6" t="s">
        <v>83</v>
      </c>
      <c r="O299" s="13" t="s">
        <v>84</v>
      </c>
      <c r="P299" s="14"/>
      <c r="Q299" s="16"/>
      <c r="R299" s="9"/>
    </row>
    <row r="300" spans="1:18" x14ac:dyDescent="0.25">
      <c r="A300" s="2" t="s">
        <v>80</v>
      </c>
      <c r="B300" s="3">
        <v>46244</v>
      </c>
      <c r="C300" s="2" t="s">
        <v>26</v>
      </c>
      <c r="D300" s="2" t="s">
        <v>88</v>
      </c>
      <c r="E300" s="4"/>
      <c r="F300" s="10">
        <v>100</v>
      </c>
      <c r="G300" s="10">
        <v>43.5</v>
      </c>
      <c r="H300" s="3">
        <v>48019</v>
      </c>
      <c r="I300" s="4"/>
      <c r="J300" s="11"/>
      <c r="K300" s="11"/>
      <c r="L300" s="2" t="s">
        <v>82</v>
      </c>
      <c r="M300" s="12">
        <v>0.4</v>
      </c>
      <c r="N300" s="2" t="s">
        <v>83</v>
      </c>
      <c r="O300" s="13" t="s">
        <v>84</v>
      </c>
      <c r="P300" s="10"/>
      <c r="Q300" s="12"/>
      <c r="R300" s="5"/>
    </row>
    <row r="301" spans="1:18" x14ac:dyDescent="0.25">
      <c r="A301" s="6" t="s">
        <v>80</v>
      </c>
      <c r="B301" s="7">
        <v>46244</v>
      </c>
      <c r="C301" s="6" t="s">
        <v>29</v>
      </c>
      <c r="D301" s="6" t="s">
        <v>89</v>
      </c>
      <c r="E301" s="8"/>
      <c r="F301" s="14">
        <v>100</v>
      </c>
      <c r="G301" s="14">
        <v>86</v>
      </c>
      <c r="H301" s="7">
        <v>48019</v>
      </c>
      <c r="I301" s="8"/>
      <c r="J301" s="15"/>
      <c r="K301" s="15"/>
      <c r="L301" s="6" t="s">
        <v>82</v>
      </c>
      <c r="M301" s="16">
        <v>0.4</v>
      </c>
      <c r="N301" s="6" t="s">
        <v>83</v>
      </c>
      <c r="O301" s="13" t="s">
        <v>84</v>
      </c>
      <c r="P301" s="14"/>
      <c r="Q301" s="16"/>
      <c r="R301" s="9"/>
    </row>
    <row r="302" spans="1:18" x14ac:dyDescent="0.25">
      <c r="A302" s="2" t="s">
        <v>80</v>
      </c>
      <c r="B302" s="3">
        <v>46245</v>
      </c>
      <c r="C302" s="2" t="s">
        <v>9</v>
      </c>
      <c r="D302" s="2" t="s">
        <v>81</v>
      </c>
      <c r="E302" s="4"/>
      <c r="F302" s="10">
        <v>100</v>
      </c>
      <c r="G302" s="10">
        <v>196.33</v>
      </c>
      <c r="H302" s="3">
        <v>48019</v>
      </c>
      <c r="I302" s="4"/>
      <c r="J302" s="11"/>
      <c r="K302" s="11"/>
      <c r="L302" s="2" t="s">
        <v>82</v>
      </c>
      <c r="M302" s="12">
        <v>0.4</v>
      </c>
      <c r="N302" s="2" t="s">
        <v>83</v>
      </c>
      <c r="O302" s="13" t="s">
        <v>84</v>
      </c>
      <c r="P302" s="10"/>
      <c r="Q302" s="12"/>
      <c r="R302" s="5"/>
    </row>
    <row r="303" spans="1:18" x14ac:dyDescent="0.25">
      <c r="A303" s="6" t="s">
        <v>80</v>
      </c>
      <c r="B303" s="7">
        <v>46245</v>
      </c>
      <c r="C303" s="6" t="s">
        <v>14</v>
      </c>
      <c r="D303" s="6" t="s">
        <v>85</v>
      </c>
      <c r="E303" s="8"/>
      <c r="F303" s="14">
        <v>500</v>
      </c>
      <c r="G303" s="14">
        <v>755</v>
      </c>
      <c r="H303" s="7">
        <v>48019</v>
      </c>
      <c r="I303" s="8"/>
      <c r="J303" s="15"/>
      <c r="K303" s="15"/>
      <c r="L303" s="6" t="s">
        <v>82</v>
      </c>
      <c r="M303" s="16">
        <v>0.4</v>
      </c>
      <c r="N303" s="6" t="s">
        <v>83</v>
      </c>
      <c r="O303" s="13" t="s">
        <v>84</v>
      </c>
      <c r="P303" s="14"/>
      <c r="Q303" s="16"/>
      <c r="R303" s="9"/>
    </row>
    <row r="304" spans="1:18" x14ac:dyDescent="0.25">
      <c r="A304" s="2" t="s">
        <v>80</v>
      </c>
      <c r="B304" s="3">
        <v>46245</v>
      </c>
      <c r="C304" s="2" t="s">
        <v>17</v>
      </c>
      <c r="D304" s="2" t="s">
        <v>90</v>
      </c>
      <c r="E304" s="4"/>
      <c r="F304" s="10">
        <v>100</v>
      </c>
      <c r="G304" s="10">
        <v>74.67</v>
      </c>
      <c r="H304" s="3">
        <v>48019</v>
      </c>
      <c r="I304" s="4"/>
      <c r="J304" s="11"/>
      <c r="K304" s="11"/>
      <c r="L304" s="2" t="s">
        <v>82</v>
      </c>
      <c r="M304" s="12">
        <v>0.4</v>
      </c>
      <c r="N304" s="2" t="s">
        <v>83</v>
      </c>
      <c r="O304" s="13" t="s">
        <v>84</v>
      </c>
      <c r="P304" s="10"/>
      <c r="Q304" s="12"/>
      <c r="R304" s="5"/>
    </row>
    <row r="305" spans="1:18" x14ac:dyDescent="0.25">
      <c r="A305" s="6" t="s">
        <v>80</v>
      </c>
      <c r="B305" s="7">
        <v>46245</v>
      </c>
      <c r="C305" s="6" t="s">
        <v>20</v>
      </c>
      <c r="D305" s="6" t="s">
        <v>86</v>
      </c>
      <c r="E305" s="8"/>
      <c r="F305" s="14">
        <v>100</v>
      </c>
      <c r="G305" s="14">
        <v>56</v>
      </c>
      <c r="H305" s="7">
        <v>48019</v>
      </c>
      <c r="I305" s="8"/>
      <c r="J305" s="15"/>
      <c r="K305" s="15"/>
      <c r="L305" s="6" t="s">
        <v>82</v>
      </c>
      <c r="M305" s="16">
        <v>0.4</v>
      </c>
      <c r="N305" s="6" t="s">
        <v>83</v>
      </c>
      <c r="O305" s="13" t="s">
        <v>84</v>
      </c>
      <c r="P305" s="14"/>
      <c r="Q305" s="16"/>
      <c r="R305" s="9"/>
    </row>
    <row r="306" spans="1:18" x14ac:dyDescent="0.25">
      <c r="A306" s="2" t="s">
        <v>80</v>
      </c>
      <c r="B306" s="3">
        <v>46245</v>
      </c>
      <c r="C306" s="2" t="s">
        <v>23</v>
      </c>
      <c r="D306" s="2" t="s">
        <v>87</v>
      </c>
      <c r="E306" s="4"/>
      <c r="F306" s="10">
        <v>100</v>
      </c>
      <c r="G306" s="10">
        <v>52.33</v>
      </c>
      <c r="H306" s="3">
        <v>48019</v>
      </c>
      <c r="I306" s="4"/>
      <c r="J306" s="11"/>
      <c r="K306" s="11"/>
      <c r="L306" s="2" t="s">
        <v>82</v>
      </c>
      <c r="M306" s="12">
        <v>0.4</v>
      </c>
      <c r="N306" s="2" t="s">
        <v>83</v>
      </c>
      <c r="O306" s="13" t="s">
        <v>84</v>
      </c>
      <c r="P306" s="10"/>
      <c r="Q306" s="12"/>
      <c r="R306" s="5"/>
    </row>
    <row r="307" spans="1:18" x14ac:dyDescent="0.25">
      <c r="A307" s="6" t="s">
        <v>80</v>
      </c>
      <c r="B307" s="7">
        <v>46245</v>
      </c>
      <c r="C307" s="6" t="s">
        <v>26</v>
      </c>
      <c r="D307" s="6" t="s">
        <v>88</v>
      </c>
      <c r="E307" s="8"/>
      <c r="F307" s="14">
        <v>100</v>
      </c>
      <c r="G307" s="14">
        <v>42.67</v>
      </c>
      <c r="H307" s="7">
        <v>48019</v>
      </c>
      <c r="I307" s="8"/>
      <c r="J307" s="15"/>
      <c r="K307" s="15"/>
      <c r="L307" s="6" t="s">
        <v>82</v>
      </c>
      <c r="M307" s="16">
        <v>0.4</v>
      </c>
      <c r="N307" s="6" t="s">
        <v>83</v>
      </c>
      <c r="O307" s="13" t="s">
        <v>84</v>
      </c>
      <c r="P307" s="14"/>
      <c r="Q307" s="16"/>
      <c r="R307" s="9"/>
    </row>
    <row r="308" spans="1:18" x14ac:dyDescent="0.25">
      <c r="A308" s="2" t="s">
        <v>80</v>
      </c>
      <c r="B308" s="3">
        <v>46245</v>
      </c>
      <c r="C308" s="2" t="s">
        <v>29</v>
      </c>
      <c r="D308" s="2" t="s">
        <v>89</v>
      </c>
      <c r="E308" s="4"/>
      <c r="F308" s="10">
        <v>100</v>
      </c>
      <c r="G308" s="10">
        <v>84.5</v>
      </c>
      <c r="H308" s="3">
        <v>48019</v>
      </c>
      <c r="I308" s="4"/>
      <c r="J308" s="11"/>
      <c r="K308" s="11"/>
      <c r="L308" s="2" t="s">
        <v>82</v>
      </c>
      <c r="M308" s="12">
        <v>0.4</v>
      </c>
      <c r="N308" s="2" t="s">
        <v>83</v>
      </c>
      <c r="O308" s="13" t="s">
        <v>84</v>
      </c>
      <c r="P308" s="10"/>
      <c r="Q308" s="12"/>
      <c r="R308" s="5"/>
    </row>
    <row r="309" spans="1:18" x14ac:dyDescent="0.25">
      <c r="A309" s="6" t="s">
        <v>80</v>
      </c>
      <c r="B309" s="7">
        <v>46246</v>
      </c>
      <c r="C309" s="6" t="s">
        <v>9</v>
      </c>
      <c r="D309" s="6" t="s">
        <v>81</v>
      </c>
      <c r="E309" s="8"/>
      <c r="F309" s="14">
        <v>100</v>
      </c>
      <c r="G309" s="14">
        <v>197.67</v>
      </c>
      <c r="H309" s="7">
        <v>48019</v>
      </c>
      <c r="I309" s="8"/>
      <c r="J309" s="15"/>
      <c r="K309" s="15"/>
      <c r="L309" s="6" t="s">
        <v>82</v>
      </c>
      <c r="M309" s="16">
        <v>0.4</v>
      </c>
      <c r="N309" s="6" t="s">
        <v>83</v>
      </c>
      <c r="O309" s="13" t="s">
        <v>84</v>
      </c>
      <c r="P309" s="14"/>
      <c r="Q309" s="16"/>
      <c r="R309" s="9"/>
    </row>
    <row r="310" spans="1:18" x14ac:dyDescent="0.25">
      <c r="A310" s="2" t="s">
        <v>80</v>
      </c>
      <c r="B310" s="3">
        <v>46246</v>
      </c>
      <c r="C310" s="2" t="s">
        <v>14</v>
      </c>
      <c r="D310" s="2" t="s">
        <v>85</v>
      </c>
      <c r="E310" s="4"/>
      <c r="F310" s="10">
        <v>500</v>
      </c>
      <c r="G310" s="10">
        <v>750</v>
      </c>
      <c r="H310" s="3">
        <v>48019</v>
      </c>
      <c r="I310" s="4"/>
      <c r="J310" s="11"/>
      <c r="K310" s="11"/>
      <c r="L310" s="2" t="s">
        <v>82</v>
      </c>
      <c r="M310" s="12">
        <v>0.4</v>
      </c>
      <c r="N310" s="2" t="s">
        <v>83</v>
      </c>
      <c r="O310" s="13" t="s">
        <v>84</v>
      </c>
      <c r="P310" s="10"/>
      <c r="Q310" s="12"/>
      <c r="R310" s="5"/>
    </row>
    <row r="311" spans="1:18" x14ac:dyDescent="0.25">
      <c r="A311" s="6" t="s">
        <v>80</v>
      </c>
      <c r="B311" s="7">
        <v>46246</v>
      </c>
      <c r="C311" s="6" t="s">
        <v>17</v>
      </c>
      <c r="D311" s="6" t="s">
        <v>90</v>
      </c>
      <c r="E311" s="8"/>
      <c r="F311" s="14">
        <v>100</v>
      </c>
      <c r="G311" s="14">
        <v>73.33</v>
      </c>
      <c r="H311" s="7">
        <v>48019</v>
      </c>
      <c r="I311" s="8"/>
      <c r="J311" s="15"/>
      <c r="K311" s="15"/>
      <c r="L311" s="6" t="s">
        <v>82</v>
      </c>
      <c r="M311" s="16">
        <v>0.4</v>
      </c>
      <c r="N311" s="6" t="s">
        <v>83</v>
      </c>
      <c r="O311" s="13" t="s">
        <v>84</v>
      </c>
      <c r="P311" s="14"/>
      <c r="Q311" s="16"/>
      <c r="R311" s="9"/>
    </row>
    <row r="312" spans="1:18" x14ac:dyDescent="0.25">
      <c r="A312" s="2" t="s">
        <v>80</v>
      </c>
      <c r="B312" s="3">
        <v>46246</v>
      </c>
      <c r="C312" s="2" t="s">
        <v>20</v>
      </c>
      <c r="D312" s="2" t="s">
        <v>86</v>
      </c>
      <c r="E312" s="4"/>
      <c r="F312" s="10">
        <v>100</v>
      </c>
      <c r="G312" s="10">
        <v>55</v>
      </c>
      <c r="H312" s="3">
        <v>48019</v>
      </c>
      <c r="I312" s="4"/>
      <c r="J312" s="11"/>
      <c r="K312" s="11"/>
      <c r="L312" s="2" t="s">
        <v>82</v>
      </c>
      <c r="M312" s="12">
        <v>0.4</v>
      </c>
      <c r="N312" s="2" t="s">
        <v>83</v>
      </c>
      <c r="O312" s="13" t="s">
        <v>84</v>
      </c>
      <c r="P312" s="10"/>
      <c r="Q312" s="12"/>
      <c r="R312" s="5"/>
    </row>
    <row r="313" spans="1:18" x14ac:dyDescent="0.25">
      <c r="A313" s="6" t="s">
        <v>80</v>
      </c>
      <c r="B313" s="7">
        <v>46246</v>
      </c>
      <c r="C313" s="6" t="s">
        <v>23</v>
      </c>
      <c r="D313" s="6" t="s">
        <v>87</v>
      </c>
      <c r="E313" s="8"/>
      <c r="F313" s="14">
        <v>100</v>
      </c>
      <c r="G313" s="14">
        <v>51.67</v>
      </c>
      <c r="H313" s="7">
        <v>48019</v>
      </c>
      <c r="I313" s="8"/>
      <c r="J313" s="15"/>
      <c r="K313" s="15"/>
      <c r="L313" s="6" t="s">
        <v>82</v>
      </c>
      <c r="M313" s="16">
        <v>0.4</v>
      </c>
      <c r="N313" s="6" t="s">
        <v>83</v>
      </c>
      <c r="O313" s="13" t="s">
        <v>84</v>
      </c>
      <c r="P313" s="14"/>
      <c r="Q313" s="16"/>
      <c r="R313" s="9"/>
    </row>
    <row r="314" spans="1:18" x14ac:dyDescent="0.25">
      <c r="A314" s="2" t="s">
        <v>80</v>
      </c>
      <c r="B314" s="3">
        <v>46246</v>
      </c>
      <c r="C314" s="2" t="s">
        <v>26</v>
      </c>
      <c r="D314" s="2" t="s">
        <v>88</v>
      </c>
      <c r="E314" s="4"/>
      <c r="F314" s="10">
        <v>100</v>
      </c>
      <c r="G314" s="10">
        <v>41.83</v>
      </c>
      <c r="H314" s="3">
        <v>48019</v>
      </c>
      <c r="I314" s="4"/>
      <c r="J314" s="11"/>
      <c r="K314" s="11"/>
      <c r="L314" s="2" t="s">
        <v>82</v>
      </c>
      <c r="M314" s="12">
        <v>0.4</v>
      </c>
      <c r="N314" s="2" t="s">
        <v>83</v>
      </c>
      <c r="O314" s="13" t="s">
        <v>84</v>
      </c>
      <c r="P314" s="10"/>
      <c r="Q314" s="12"/>
      <c r="R314" s="5"/>
    </row>
    <row r="315" spans="1:18" x14ac:dyDescent="0.25">
      <c r="A315" s="6" t="s">
        <v>80</v>
      </c>
      <c r="B315" s="7">
        <v>46246</v>
      </c>
      <c r="C315" s="6" t="s">
        <v>29</v>
      </c>
      <c r="D315" s="6" t="s">
        <v>89</v>
      </c>
      <c r="E315" s="8"/>
      <c r="F315" s="14">
        <v>100</v>
      </c>
      <c r="G315" s="14">
        <v>83</v>
      </c>
      <c r="H315" s="7">
        <v>48019</v>
      </c>
      <c r="I315" s="8"/>
      <c r="J315" s="15"/>
      <c r="K315" s="15"/>
      <c r="L315" s="6" t="s">
        <v>82</v>
      </c>
      <c r="M315" s="16">
        <v>0.4</v>
      </c>
      <c r="N315" s="6" t="s">
        <v>83</v>
      </c>
      <c r="O315" s="13" t="s">
        <v>84</v>
      </c>
      <c r="P315" s="14"/>
      <c r="Q315" s="16"/>
      <c r="R315" s="9"/>
    </row>
    <row r="316" spans="1:18" x14ac:dyDescent="0.25">
      <c r="A316" s="2" t="s">
        <v>80</v>
      </c>
      <c r="B316" s="3">
        <v>46247</v>
      </c>
      <c r="C316" s="2" t="s">
        <v>9</v>
      </c>
      <c r="D316" s="2" t="s">
        <v>81</v>
      </c>
      <c r="E316" s="4"/>
      <c r="F316" s="10">
        <v>100</v>
      </c>
      <c r="G316" s="10">
        <v>199</v>
      </c>
      <c r="H316" s="3">
        <v>48019</v>
      </c>
      <c r="I316" s="4"/>
      <c r="J316" s="11"/>
      <c r="K316" s="11"/>
      <c r="L316" s="2" t="s">
        <v>82</v>
      </c>
      <c r="M316" s="12">
        <v>0.4</v>
      </c>
      <c r="N316" s="2" t="s">
        <v>83</v>
      </c>
      <c r="O316" s="13" t="s">
        <v>84</v>
      </c>
      <c r="P316" s="10"/>
      <c r="Q316" s="12"/>
      <c r="R316" s="5"/>
    </row>
    <row r="317" spans="1:18" x14ac:dyDescent="0.25">
      <c r="A317" s="6" t="s">
        <v>80</v>
      </c>
      <c r="B317" s="7">
        <v>46247</v>
      </c>
      <c r="C317" s="6" t="s">
        <v>14</v>
      </c>
      <c r="D317" s="6" t="s">
        <v>85</v>
      </c>
      <c r="E317" s="8"/>
      <c r="F317" s="14">
        <v>500</v>
      </c>
      <c r="G317" s="14">
        <v>745</v>
      </c>
      <c r="H317" s="7">
        <v>48019</v>
      </c>
      <c r="I317" s="8"/>
      <c r="J317" s="15"/>
      <c r="K317" s="15"/>
      <c r="L317" s="6" t="s">
        <v>82</v>
      </c>
      <c r="M317" s="16">
        <v>0.4</v>
      </c>
      <c r="N317" s="6" t="s">
        <v>83</v>
      </c>
      <c r="O317" s="13" t="s">
        <v>84</v>
      </c>
      <c r="P317" s="14"/>
      <c r="Q317" s="16"/>
      <c r="R317" s="9"/>
    </row>
    <row r="318" spans="1:18" x14ac:dyDescent="0.25">
      <c r="A318" s="2" t="s">
        <v>80</v>
      </c>
      <c r="B318" s="3">
        <v>46247</v>
      </c>
      <c r="C318" s="2" t="s">
        <v>17</v>
      </c>
      <c r="D318" s="2" t="s">
        <v>90</v>
      </c>
      <c r="E318" s="4"/>
      <c r="F318" s="10">
        <v>100</v>
      </c>
      <c r="G318" s="10">
        <v>72</v>
      </c>
      <c r="H318" s="3">
        <v>48019</v>
      </c>
      <c r="I318" s="4"/>
      <c r="J318" s="11"/>
      <c r="K318" s="11"/>
      <c r="L318" s="2" t="s">
        <v>82</v>
      </c>
      <c r="M318" s="12">
        <v>0.4</v>
      </c>
      <c r="N318" s="2" t="s">
        <v>83</v>
      </c>
      <c r="O318" s="13" t="s">
        <v>84</v>
      </c>
      <c r="P318" s="10"/>
      <c r="Q318" s="12"/>
      <c r="R318" s="5"/>
    </row>
    <row r="319" spans="1:18" x14ac:dyDescent="0.25">
      <c r="A319" s="6" t="s">
        <v>80</v>
      </c>
      <c r="B319" s="7">
        <v>46247</v>
      </c>
      <c r="C319" s="6" t="s">
        <v>20</v>
      </c>
      <c r="D319" s="6" t="s">
        <v>86</v>
      </c>
      <c r="E319" s="8"/>
      <c r="F319" s="14">
        <v>100</v>
      </c>
      <c r="G319" s="14">
        <v>54</v>
      </c>
      <c r="H319" s="7">
        <v>48019</v>
      </c>
      <c r="I319" s="8"/>
      <c r="J319" s="15"/>
      <c r="K319" s="15"/>
      <c r="L319" s="6" t="s">
        <v>82</v>
      </c>
      <c r="M319" s="16">
        <v>0.4</v>
      </c>
      <c r="N319" s="6" t="s">
        <v>83</v>
      </c>
      <c r="O319" s="13" t="s">
        <v>84</v>
      </c>
      <c r="P319" s="14"/>
      <c r="Q319" s="16"/>
      <c r="R319" s="9"/>
    </row>
    <row r="320" spans="1:18" x14ac:dyDescent="0.25">
      <c r="A320" s="2" t="s">
        <v>80</v>
      </c>
      <c r="B320" s="3">
        <v>46247</v>
      </c>
      <c r="C320" s="2" t="s">
        <v>23</v>
      </c>
      <c r="D320" s="2" t="s">
        <v>87</v>
      </c>
      <c r="E320" s="4"/>
      <c r="F320" s="10">
        <v>100</v>
      </c>
      <c r="G320" s="10">
        <v>51</v>
      </c>
      <c r="H320" s="3">
        <v>48019</v>
      </c>
      <c r="I320" s="4"/>
      <c r="J320" s="11"/>
      <c r="K320" s="11"/>
      <c r="L320" s="2" t="s">
        <v>82</v>
      </c>
      <c r="M320" s="12">
        <v>0.4</v>
      </c>
      <c r="N320" s="2" t="s">
        <v>83</v>
      </c>
      <c r="O320" s="13" t="s">
        <v>84</v>
      </c>
      <c r="P320" s="10"/>
      <c r="Q320" s="12"/>
      <c r="R320" s="5"/>
    </row>
    <row r="321" spans="1:18" x14ac:dyDescent="0.25">
      <c r="A321" s="6" t="s">
        <v>80</v>
      </c>
      <c r="B321" s="7">
        <v>46247</v>
      </c>
      <c r="C321" s="6" t="s">
        <v>26</v>
      </c>
      <c r="D321" s="6" t="s">
        <v>88</v>
      </c>
      <c r="E321" s="8"/>
      <c r="F321" s="14">
        <v>100</v>
      </c>
      <c r="G321" s="14">
        <v>41</v>
      </c>
      <c r="H321" s="7">
        <v>48019</v>
      </c>
      <c r="I321" s="8"/>
      <c r="J321" s="15"/>
      <c r="K321" s="15"/>
      <c r="L321" s="6" t="s">
        <v>82</v>
      </c>
      <c r="M321" s="16">
        <v>0.4</v>
      </c>
      <c r="N321" s="6" t="s">
        <v>83</v>
      </c>
      <c r="O321" s="13" t="s">
        <v>84</v>
      </c>
      <c r="P321" s="14"/>
      <c r="Q321" s="16"/>
      <c r="R321" s="9"/>
    </row>
    <row r="322" spans="1:18" x14ac:dyDescent="0.25">
      <c r="A322" s="2" t="s">
        <v>80</v>
      </c>
      <c r="B322" s="3">
        <v>46247</v>
      </c>
      <c r="C322" s="2" t="s">
        <v>29</v>
      </c>
      <c r="D322" s="2" t="s">
        <v>89</v>
      </c>
      <c r="E322" s="4"/>
      <c r="F322" s="10">
        <v>100</v>
      </c>
      <c r="G322" s="10">
        <v>81.5</v>
      </c>
      <c r="H322" s="3">
        <v>48019</v>
      </c>
      <c r="I322" s="4"/>
      <c r="J322" s="11"/>
      <c r="K322" s="11"/>
      <c r="L322" s="2" t="s">
        <v>82</v>
      </c>
      <c r="M322" s="12">
        <v>0.4</v>
      </c>
      <c r="N322" s="2" t="s">
        <v>83</v>
      </c>
      <c r="O322" s="13" t="s">
        <v>84</v>
      </c>
      <c r="P322" s="10"/>
      <c r="Q322" s="12"/>
      <c r="R322" s="5"/>
    </row>
    <row r="323" spans="1:18" x14ac:dyDescent="0.25">
      <c r="A323" s="6" t="s">
        <v>80</v>
      </c>
      <c r="B323" s="7">
        <v>46248</v>
      </c>
      <c r="C323" s="6" t="s">
        <v>9</v>
      </c>
      <c r="D323" s="6" t="s">
        <v>81</v>
      </c>
      <c r="E323" s="8"/>
      <c r="F323" s="14">
        <v>100</v>
      </c>
      <c r="G323" s="14">
        <v>197.25</v>
      </c>
      <c r="H323" s="7">
        <v>48019</v>
      </c>
      <c r="I323" s="8"/>
      <c r="J323" s="15"/>
      <c r="K323" s="15"/>
      <c r="L323" s="6" t="s">
        <v>82</v>
      </c>
      <c r="M323" s="16">
        <v>0.4</v>
      </c>
      <c r="N323" s="6" t="s">
        <v>83</v>
      </c>
      <c r="O323" s="13" t="s">
        <v>84</v>
      </c>
      <c r="P323" s="14"/>
      <c r="Q323" s="16"/>
      <c r="R323" s="9"/>
    </row>
    <row r="324" spans="1:18" x14ac:dyDescent="0.25">
      <c r="A324" s="2" t="s">
        <v>80</v>
      </c>
      <c r="B324" s="3">
        <v>46248</v>
      </c>
      <c r="C324" s="2" t="s">
        <v>14</v>
      </c>
      <c r="D324" s="2" t="s">
        <v>85</v>
      </c>
      <c r="E324" s="4"/>
      <c r="F324" s="10">
        <v>500</v>
      </c>
      <c r="G324" s="10">
        <v>740</v>
      </c>
      <c r="H324" s="3">
        <v>48019</v>
      </c>
      <c r="I324" s="4"/>
      <c r="J324" s="11"/>
      <c r="K324" s="11"/>
      <c r="L324" s="2" t="s">
        <v>82</v>
      </c>
      <c r="M324" s="12">
        <v>0.4</v>
      </c>
      <c r="N324" s="2" t="s">
        <v>83</v>
      </c>
      <c r="O324" s="13" t="s">
        <v>84</v>
      </c>
      <c r="P324" s="10"/>
      <c r="Q324" s="12"/>
      <c r="R324" s="5"/>
    </row>
    <row r="325" spans="1:18" x14ac:dyDescent="0.25">
      <c r="A325" s="6" t="s">
        <v>80</v>
      </c>
      <c r="B325" s="7">
        <v>46248</v>
      </c>
      <c r="C325" s="6" t="s">
        <v>17</v>
      </c>
      <c r="D325" s="6" t="s">
        <v>90</v>
      </c>
      <c r="E325" s="8"/>
      <c r="F325" s="14">
        <v>100</v>
      </c>
      <c r="G325" s="14">
        <v>74.5</v>
      </c>
      <c r="H325" s="7">
        <v>48019</v>
      </c>
      <c r="I325" s="8"/>
      <c r="J325" s="15"/>
      <c r="K325" s="15"/>
      <c r="L325" s="6" t="s">
        <v>82</v>
      </c>
      <c r="M325" s="16">
        <v>0.4</v>
      </c>
      <c r="N325" s="6" t="s">
        <v>83</v>
      </c>
      <c r="O325" s="13" t="s">
        <v>84</v>
      </c>
      <c r="P325" s="14"/>
      <c r="Q325" s="16"/>
      <c r="R325" s="9"/>
    </row>
    <row r="326" spans="1:18" x14ac:dyDescent="0.25">
      <c r="A326" s="2" t="s">
        <v>80</v>
      </c>
      <c r="B326" s="3">
        <v>46248</v>
      </c>
      <c r="C326" s="2" t="s">
        <v>20</v>
      </c>
      <c r="D326" s="2" t="s">
        <v>86</v>
      </c>
      <c r="E326" s="4"/>
      <c r="F326" s="10">
        <v>100</v>
      </c>
      <c r="G326" s="10">
        <v>53</v>
      </c>
      <c r="H326" s="3">
        <v>48019</v>
      </c>
      <c r="I326" s="4"/>
      <c r="J326" s="11"/>
      <c r="K326" s="11"/>
      <c r="L326" s="2" t="s">
        <v>82</v>
      </c>
      <c r="M326" s="12">
        <v>0.4</v>
      </c>
      <c r="N326" s="2" t="s">
        <v>83</v>
      </c>
      <c r="O326" s="13" t="s">
        <v>84</v>
      </c>
      <c r="P326" s="10"/>
      <c r="Q326" s="12"/>
      <c r="R326" s="5"/>
    </row>
    <row r="327" spans="1:18" x14ac:dyDescent="0.25">
      <c r="A327" s="6" t="s">
        <v>80</v>
      </c>
      <c r="B327" s="7">
        <v>46248</v>
      </c>
      <c r="C327" s="6" t="s">
        <v>23</v>
      </c>
      <c r="D327" s="6" t="s">
        <v>87</v>
      </c>
      <c r="E327" s="8"/>
      <c r="F327" s="14">
        <v>100</v>
      </c>
      <c r="G327" s="14">
        <v>52.25</v>
      </c>
      <c r="H327" s="7">
        <v>48019</v>
      </c>
      <c r="I327" s="8"/>
      <c r="J327" s="15"/>
      <c r="K327" s="15"/>
      <c r="L327" s="6" t="s">
        <v>82</v>
      </c>
      <c r="M327" s="16">
        <v>0.4</v>
      </c>
      <c r="N327" s="6" t="s">
        <v>83</v>
      </c>
      <c r="O327" s="13" t="s">
        <v>84</v>
      </c>
      <c r="P327" s="14"/>
      <c r="Q327" s="16"/>
      <c r="R327" s="9"/>
    </row>
    <row r="328" spans="1:18" x14ac:dyDescent="0.25">
      <c r="A328" s="2" t="s">
        <v>80</v>
      </c>
      <c r="B328" s="3">
        <v>46248</v>
      </c>
      <c r="C328" s="2" t="s">
        <v>26</v>
      </c>
      <c r="D328" s="2" t="s">
        <v>88</v>
      </c>
      <c r="E328" s="4"/>
      <c r="F328" s="10">
        <v>100</v>
      </c>
      <c r="G328" s="10">
        <v>42</v>
      </c>
      <c r="H328" s="3">
        <v>48019</v>
      </c>
      <c r="I328" s="4"/>
      <c r="J328" s="11"/>
      <c r="K328" s="11"/>
      <c r="L328" s="2" t="s">
        <v>82</v>
      </c>
      <c r="M328" s="12">
        <v>0.4</v>
      </c>
      <c r="N328" s="2" t="s">
        <v>83</v>
      </c>
      <c r="O328" s="13" t="s">
        <v>84</v>
      </c>
      <c r="P328" s="10"/>
      <c r="Q328" s="12"/>
      <c r="R328" s="5"/>
    </row>
    <row r="329" spans="1:18" x14ac:dyDescent="0.25">
      <c r="A329" s="6" t="s">
        <v>80</v>
      </c>
      <c r="B329" s="7">
        <v>46248</v>
      </c>
      <c r="C329" s="6" t="s">
        <v>29</v>
      </c>
      <c r="D329" s="6" t="s">
        <v>89</v>
      </c>
      <c r="E329" s="8"/>
      <c r="F329" s="14">
        <v>100</v>
      </c>
      <c r="G329" s="14">
        <v>80</v>
      </c>
      <c r="H329" s="7">
        <v>48019</v>
      </c>
      <c r="I329" s="8"/>
      <c r="J329" s="15"/>
      <c r="K329" s="15"/>
      <c r="L329" s="6" t="s">
        <v>82</v>
      </c>
      <c r="M329" s="16">
        <v>0.4</v>
      </c>
      <c r="N329" s="6" t="s">
        <v>83</v>
      </c>
      <c r="O329" s="13" t="s">
        <v>84</v>
      </c>
      <c r="P329" s="14"/>
      <c r="Q329" s="16"/>
      <c r="R329" s="9"/>
    </row>
    <row r="330" spans="1:18" x14ac:dyDescent="0.25">
      <c r="A330" s="2" t="s">
        <v>80</v>
      </c>
      <c r="B330" s="3">
        <v>46251</v>
      </c>
      <c r="C330" s="2" t="s">
        <v>9</v>
      </c>
      <c r="D330" s="2" t="s">
        <v>81</v>
      </c>
      <c r="E330" s="4"/>
      <c r="F330" s="10">
        <v>100</v>
      </c>
      <c r="G330" s="10">
        <v>192</v>
      </c>
      <c r="H330" s="3">
        <v>48019</v>
      </c>
      <c r="I330" s="4"/>
      <c r="J330" s="11"/>
      <c r="K330" s="11"/>
      <c r="L330" s="2" t="s">
        <v>82</v>
      </c>
      <c r="M330" s="12">
        <v>0.4</v>
      </c>
      <c r="N330" s="2" t="s">
        <v>83</v>
      </c>
      <c r="O330" s="13" t="s">
        <v>84</v>
      </c>
      <c r="P330" s="10"/>
      <c r="Q330" s="12"/>
      <c r="R330" s="5"/>
    </row>
    <row r="331" spans="1:18" x14ac:dyDescent="0.25">
      <c r="A331" s="6" t="s">
        <v>80</v>
      </c>
      <c r="B331" s="7">
        <v>46251</v>
      </c>
      <c r="C331" s="6" t="s">
        <v>14</v>
      </c>
      <c r="D331" s="6" t="s">
        <v>85</v>
      </c>
      <c r="E331" s="8"/>
      <c r="F331" s="14">
        <v>500</v>
      </c>
      <c r="G331" s="14">
        <v>670</v>
      </c>
      <c r="H331" s="7">
        <v>48019</v>
      </c>
      <c r="I331" s="8"/>
      <c r="J331" s="15"/>
      <c r="K331" s="15"/>
      <c r="L331" s="6" t="s">
        <v>82</v>
      </c>
      <c r="M331" s="16">
        <v>0.4</v>
      </c>
      <c r="N331" s="6" t="s">
        <v>83</v>
      </c>
      <c r="O331" s="13" t="s">
        <v>84</v>
      </c>
      <c r="P331" s="14"/>
      <c r="Q331" s="16"/>
      <c r="R331" s="9"/>
    </row>
    <row r="332" spans="1:18" x14ac:dyDescent="0.25">
      <c r="A332" s="2" t="s">
        <v>80</v>
      </c>
      <c r="B332" s="3">
        <v>46251</v>
      </c>
      <c r="C332" s="2" t="s">
        <v>17</v>
      </c>
      <c r="D332" s="2" t="s">
        <v>90</v>
      </c>
      <c r="E332" s="4"/>
      <c r="F332" s="10">
        <v>100</v>
      </c>
      <c r="G332" s="10">
        <v>82</v>
      </c>
      <c r="H332" s="3">
        <v>48019</v>
      </c>
      <c r="I332" s="4"/>
      <c r="J332" s="11"/>
      <c r="K332" s="11"/>
      <c r="L332" s="2" t="s">
        <v>82</v>
      </c>
      <c r="M332" s="12">
        <v>0.4</v>
      </c>
      <c r="N332" s="2" t="s">
        <v>83</v>
      </c>
      <c r="O332" s="13" t="s">
        <v>84</v>
      </c>
      <c r="P332" s="10"/>
      <c r="Q332" s="12"/>
      <c r="R332" s="5"/>
    </row>
    <row r="333" spans="1:18" x14ac:dyDescent="0.25">
      <c r="A333" s="6" t="s">
        <v>80</v>
      </c>
      <c r="B333" s="7">
        <v>46251</v>
      </c>
      <c r="C333" s="6" t="s">
        <v>20</v>
      </c>
      <c r="D333" s="6" t="s">
        <v>86</v>
      </c>
      <c r="E333" s="8"/>
      <c r="F333" s="14">
        <v>100</v>
      </c>
      <c r="G333" s="14">
        <v>58.14</v>
      </c>
      <c r="H333" s="7">
        <v>48019</v>
      </c>
      <c r="I333" s="8"/>
      <c r="J333" s="15"/>
      <c r="K333" s="15"/>
      <c r="L333" s="6" t="s">
        <v>82</v>
      </c>
      <c r="M333" s="16">
        <v>0.4</v>
      </c>
      <c r="N333" s="6" t="s">
        <v>83</v>
      </c>
      <c r="O333" s="13" t="s">
        <v>84</v>
      </c>
      <c r="P333" s="14"/>
      <c r="Q333" s="16"/>
      <c r="R333" s="9"/>
    </row>
    <row r="334" spans="1:18" x14ac:dyDescent="0.25">
      <c r="A334" s="2" t="s">
        <v>80</v>
      </c>
      <c r="B334" s="3">
        <v>46251</v>
      </c>
      <c r="C334" s="2" t="s">
        <v>23</v>
      </c>
      <c r="D334" s="2" t="s">
        <v>87</v>
      </c>
      <c r="E334" s="4"/>
      <c r="F334" s="10">
        <v>100</v>
      </c>
      <c r="G334" s="10">
        <v>56</v>
      </c>
      <c r="H334" s="3">
        <v>48019</v>
      </c>
      <c r="I334" s="4"/>
      <c r="J334" s="11"/>
      <c r="K334" s="11"/>
      <c r="L334" s="2" t="s">
        <v>82</v>
      </c>
      <c r="M334" s="12">
        <v>0.4</v>
      </c>
      <c r="N334" s="2" t="s">
        <v>83</v>
      </c>
      <c r="O334" s="13" t="s">
        <v>84</v>
      </c>
      <c r="P334" s="10"/>
      <c r="Q334" s="12"/>
      <c r="R334" s="5"/>
    </row>
    <row r="335" spans="1:18" x14ac:dyDescent="0.25">
      <c r="A335" s="6" t="s">
        <v>80</v>
      </c>
      <c r="B335" s="7">
        <v>46251</v>
      </c>
      <c r="C335" s="6" t="s">
        <v>26</v>
      </c>
      <c r="D335" s="6" t="s">
        <v>88</v>
      </c>
      <c r="E335" s="8"/>
      <c r="F335" s="14">
        <v>100</v>
      </c>
      <c r="G335" s="14">
        <v>45</v>
      </c>
      <c r="H335" s="7">
        <v>48019</v>
      </c>
      <c r="I335" s="8"/>
      <c r="J335" s="15"/>
      <c r="K335" s="15"/>
      <c r="L335" s="6" t="s">
        <v>82</v>
      </c>
      <c r="M335" s="16">
        <v>0.4</v>
      </c>
      <c r="N335" s="6" t="s">
        <v>83</v>
      </c>
      <c r="O335" s="13" t="s">
        <v>84</v>
      </c>
      <c r="P335" s="14"/>
      <c r="Q335" s="16"/>
      <c r="R335" s="9"/>
    </row>
    <row r="336" spans="1:18" x14ac:dyDescent="0.25">
      <c r="A336" s="2" t="s">
        <v>80</v>
      </c>
      <c r="B336" s="3">
        <v>46251</v>
      </c>
      <c r="C336" s="2" t="s">
        <v>29</v>
      </c>
      <c r="D336" s="2" t="s">
        <v>89</v>
      </c>
      <c r="E336" s="4"/>
      <c r="F336" s="10">
        <v>100</v>
      </c>
      <c r="G336" s="10">
        <v>88.25</v>
      </c>
      <c r="H336" s="3">
        <v>48019</v>
      </c>
      <c r="I336" s="4"/>
      <c r="J336" s="11"/>
      <c r="K336" s="11"/>
      <c r="L336" s="2" t="s">
        <v>82</v>
      </c>
      <c r="M336" s="12">
        <v>0.4</v>
      </c>
      <c r="N336" s="2" t="s">
        <v>83</v>
      </c>
      <c r="O336" s="13" t="s">
        <v>84</v>
      </c>
      <c r="P336" s="10"/>
      <c r="Q336" s="12"/>
      <c r="R336" s="5"/>
    </row>
    <row r="337" spans="1:18" x14ac:dyDescent="0.25">
      <c r="A337" s="6" t="s">
        <v>80</v>
      </c>
      <c r="B337" s="7">
        <v>46252</v>
      </c>
      <c r="C337" s="6" t="s">
        <v>9</v>
      </c>
      <c r="D337" s="6" t="s">
        <v>81</v>
      </c>
      <c r="E337" s="8"/>
      <c r="F337" s="14">
        <v>100</v>
      </c>
      <c r="G337" s="14">
        <v>197.5</v>
      </c>
      <c r="H337" s="7">
        <v>48019</v>
      </c>
      <c r="I337" s="8"/>
      <c r="J337" s="15"/>
      <c r="K337" s="15"/>
      <c r="L337" s="6" t="s">
        <v>82</v>
      </c>
      <c r="M337" s="16">
        <v>0.4</v>
      </c>
      <c r="N337" s="6" t="s">
        <v>83</v>
      </c>
      <c r="O337" s="13" t="s">
        <v>84</v>
      </c>
      <c r="P337" s="14"/>
      <c r="Q337" s="16"/>
      <c r="R337" s="9"/>
    </row>
    <row r="338" spans="1:18" x14ac:dyDescent="0.25">
      <c r="A338" s="2" t="s">
        <v>80</v>
      </c>
      <c r="B338" s="3">
        <v>46252</v>
      </c>
      <c r="C338" s="2" t="s">
        <v>14</v>
      </c>
      <c r="D338" s="2" t="s">
        <v>85</v>
      </c>
      <c r="E338" s="4"/>
      <c r="F338" s="10">
        <v>500</v>
      </c>
      <c r="G338" s="10">
        <v>700</v>
      </c>
      <c r="H338" s="3">
        <v>48019</v>
      </c>
      <c r="I338" s="4"/>
      <c r="J338" s="11"/>
      <c r="K338" s="11"/>
      <c r="L338" s="2" t="s">
        <v>82</v>
      </c>
      <c r="M338" s="12">
        <v>0.4</v>
      </c>
      <c r="N338" s="2" t="s">
        <v>83</v>
      </c>
      <c r="O338" s="13" t="s">
        <v>84</v>
      </c>
      <c r="P338" s="10"/>
      <c r="Q338" s="12"/>
      <c r="R338" s="5"/>
    </row>
    <row r="339" spans="1:18" x14ac:dyDescent="0.25">
      <c r="A339" s="6" t="s">
        <v>80</v>
      </c>
      <c r="B339" s="7">
        <v>46252</v>
      </c>
      <c r="C339" s="6" t="s">
        <v>17</v>
      </c>
      <c r="D339" s="6" t="s">
        <v>90</v>
      </c>
      <c r="E339" s="8"/>
      <c r="F339" s="14">
        <v>100</v>
      </c>
      <c r="G339" s="14">
        <v>83.25</v>
      </c>
      <c r="H339" s="7">
        <v>48019</v>
      </c>
      <c r="I339" s="8"/>
      <c r="J339" s="15"/>
      <c r="K339" s="15"/>
      <c r="L339" s="6" t="s">
        <v>82</v>
      </c>
      <c r="M339" s="16">
        <v>0.4</v>
      </c>
      <c r="N339" s="6" t="s">
        <v>83</v>
      </c>
      <c r="O339" s="13" t="s">
        <v>84</v>
      </c>
      <c r="P339" s="14"/>
      <c r="Q339" s="16"/>
      <c r="R339" s="9"/>
    </row>
    <row r="340" spans="1:18" x14ac:dyDescent="0.25">
      <c r="A340" s="2" t="s">
        <v>80</v>
      </c>
      <c r="B340" s="3">
        <v>46252</v>
      </c>
      <c r="C340" s="2" t="s">
        <v>20</v>
      </c>
      <c r="D340" s="2" t="s">
        <v>86</v>
      </c>
      <c r="E340" s="4"/>
      <c r="F340" s="10">
        <v>100</v>
      </c>
      <c r="G340" s="10">
        <v>59.86</v>
      </c>
      <c r="H340" s="3">
        <v>48019</v>
      </c>
      <c r="I340" s="4"/>
      <c r="J340" s="11"/>
      <c r="K340" s="11"/>
      <c r="L340" s="2" t="s">
        <v>82</v>
      </c>
      <c r="M340" s="12">
        <v>0.4</v>
      </c>
      <c r="N340" s="2" t="s">
        <v>83</v>
      </c>
      <c r="O340" s="13" t="s">
        <v>84</v>
      </c>
      <c r="P340" s="10"/>
      <c r="Q340" s="12"/>
      <c r="R340" s="5"/>
    </row>
    <row r="341" spans="1:18" x14ac:dyDescent="0.25">
      <c r="A341" s="6" t="s">
        <v>80</v>
      </c>
      <c r="B341" s="7">
        <v>46252</v>
      </c>
      <c r="C341" s="6" t="s">
        <v>23</v>
      </c>
      <c r="D341" s="6" t="s">
        <v>87</v>
      </c>
      <c r="E341" s="8"/>
      <c r="F341" s="14">
        <v>100</v>
      </c>
      <c r="G341" s="14">
        <v>56.75</v>
      </c>
      <c r="H341" s="7">
        <v>48019</v>
      </c>
      <c r="I341" s="8"/>
      <c r="J341" s="15"/>
      <c r="K341" s="15"/>
      <c r="L341" s="6" t="s">
        <v>82</v>
      </c>
      <c r="M341" s="16">
        <v>0.4</v>
      </c>
      <c r="N341" s="6" t="s">
        <v>83</v>
      </c>
      <c r="O341" s="13" t="s">
        <v>84</v>
      </c>
      <c r="P341" s="14"/>
      <c r="Q341" s="16"/>
      <c r="R341" s="9"/>
    </row>
    <row r="342" spans="1:18" x14ac:dyDescent="0.25">
      <c r="A342" s="2" t="s">
        <v>80</v>
      </c>
      <c r="B342" s="3">
        <v>46252</v>
      </c>
      <c r="C342" s="2" t="s">
        <v>26</v>
      </c>
      <c r="D342" s="2" t="s">
        <v>88</v>
      </c>
      <c r="E342" s="4"/>
      <c r="F342" s="10">
        <v>100</v>
      </c>
      <c r="G342" s="10">
        <v>45.75</v>
      </c>
      <c r="H342" s="3">
        <v>48019</v>
      </c>
      <c r="I342" s="4"/>
      <c r="J342" s="11"/>
      <c r="K342" s="11"/>
      <c r="L342" s="2" t="s">
        <v>82</v>
      </c>
      <c r="M342" s="12">
        <v>0.4</v>
      </c>
      <c r="N342" s="2" t="s">
        <v>83</v>
      </c>
      <c r="O342" s="13" t="s">
        <v>84</v>
      </c>
      <c r="P342" s="10"/>
      <c r="Q342" s="12"/>
      <c r="R342" s="5"/>
    </row>
    <row r="343" spans="1:18" x14ac:dyDescent="0.25">
      <c r="A343" s="6" t="s">
        <v>80</v>
      </c>
      <c r="B343" s="7">
        <v>46252</v>
      </c>
      <c r="C343" s="6" t="s">
        <v>29</v>
      </c>
      <c r="D343" s="6" t="s">
        <v>89</v>
      </c>
      <c r="E343" s="8"/>
      <c r="F343" s="14">
        <v>100</v>
      </c>
      <c r="G343" s="14">
        <v>91</v>
      </c>
      <c r="H343" s="7">
        <v>48019</v>
      </c>
      <c r="I343" s="8"/>
      <c r="J343" s="15"/>
      <c r="K343" s="15"/>
      <c r="L343" s="6" t="s">
        <v>82</v>
      </c>
      <c r="M343" s="16">
        <v>0.4</v>
      </c>
      <c r="N343" s="6" t="s">
        <v>83</v>
      </c>
      <c r="O343" s="13" t="s">
        <v>84</v>
      </c>
      <c r="P343" s="14"/>
      <c r="Q343" s="16"/>
      <c r="R343" s="9"/>
    </row>
    <row r="344" spans="1:18" x14ac:dyDescent="0.25">
      <c r="A344" s="2" t="s">
        <v>80</v>
      </c>
      <c r="B344" s="3">
        <v>46253</v>
      </c>
      <c r="C344" s="2" t="s">
        <v>9</v>
      </c>
      <c r="D344" s="2" t="s">
        <v>81</v>
      </c>
      <c r="E344" s="4"/>
      <c r="F344" s="10">
        <v>100</v>
      </c>
      <c r="G344" s="10">
        <v>203</v>
      </c>
      <c r="H344" s="3">
        <v>48019</v>
      </c>
      <c r="I344" s="4"/>
      <c r="J344" s="11"/>
      <c r="K344" s="11"/>
      <c r="L344" s="2" t="s">
        <v>82</v>
      </c>
      <c r="M344" s="12">
        <v>0.4</v>
      </c>
      <c r="N344" s="2" t="s">
        <v>83</v>
      </c>
      <c r="O344" s="13" t="s">
        <v>84</v>
      </c>
      <c r="P344" s="10"/>
      <c r="Q344" s="12"/>
      <c r="R344" s="5"/>
    </row>
    <row r="345" spans="1:18" x14ac:dyDescent="0.25">
      <c r="A345" s="6" t="s">
        <v>80</v>
      </c>
      <c r="B345" s="7">
        <v>46253</v>
      </c>
      <c r="C345" s="6" t="s">
        <v>14</v>
      </c>
      <c r="D345" s="6" t="s">
        <v>85</v>
      </c>
      <c r="E345" s="8"/>
      <c r="F345" s="14">
        <v>500</v>
      </c>
      <c r="G345" s="14">
        <v>730</v>
      </c>
      <c r="H345" s="7">
        <v>48019</v>
      </c>
      <c r="I345" s="8"/>
      <c r="J345" s="15"/>
      <c r="K345" s="15"/>
      <c r="L345" s="6" t="s">
        <v>82</v>
      </c>
      <c r="M345" s="16">
        <v>0.4</v>
      </c>
      <c r="N345" s="6" t="s">
        <v>83</v>
      </c>
      <c r="O345" s="13" t="s">
        <v>84</v>
      </c>
      <c r="P345" s="14"/>
      <c r="Q345" s="16"/>
      <c r="R345" s="9"/>
    </row>
    <row r="346" spans="1:18" x14ac:dyDescent="0.25">
      <c r="A346" s="2" t="s">
        <v>80</v>
      </c>
      <c r="B346" s="3">
        <v>46253</v>
      </c>
      <c r="C346" s="2" t="s">
        <v>17</v>
      </c>
      <c r="D346" s="2" t="s">
        <v>90</v>
      </c>
      <c r="E346" s="4"/>
      <c r="F346" s="10">
        <v>100</v>
      </c>
      <c r="G346" s="10">
        <v>84.5</v>
      </c>
      <c r="H346" s="3">
        <v>48019</v>
      </c>
      <c r="I346" s="4"/>
      <c r="J346" s="11"/>
      <c r="K346" s="11"/>
      <c r="L346" s="2" t="s">
        <v>82</v>
      </c>
      <c r="M346" s="12">
        <v>0.4</v>
      </c>
      <c r="N346" s="2" t="s">
        <v>83</v>
      </c>
      <c r="O346" s="13" t="s">
        <v>84</v>
      </c>
      <c r="P346" s="10"/>
      <c r="Q346" s="12"/>
      <c r="R346" s="5"/>
    </row>
    <row r="347" spans="1:18" x14ac:dyDescent="0.25">
      <c r="A347" s="6" t="s">
        <v>80</v>
      </c>
      <c r="B347" s="7">
        <v>46253</v>
      </c>
      <c r="C347" s="6" t="s">
        <v>20</v>
      </c>
      <c r="D347" s="6" t="s">
        <v>86</v>
      </c>
      <c r="E347" s="8"/>
      <c r="F347" s="14">
        <v>100</v>
      </c>
      <c r="G347" s="14">
        <v>61.57</v>
      </c>
      <c r="H347" s="7">
        <v>48019</v>
      </c>
      <c r="I347" s="8"/>
      <c r="J347" s="15"/>
      <c r="K347" s="15"/>
      <c r="L347" s="6" t="s">
        <v>82</v>
      </c>
      <c r="M347" s="16">
        <v>0.4</v>
      </c>
      <c r="N347" s="6" t="s">
        <v>83</v>
      </c>
      <c r="O347" s="13" t="s">
        <v>84</v>
      </c>
      <c r="P347" s="14"/>
      <c r="Q347" s="16"/>
      <c r="R347" s="9"/>
    </row>
    <row r="348" spans="1:18" x14ac:dyDescent="0.25">
      <c r="A348" s="2" t="s">
        <v>80</v>
      </c>
      <c r="B348" s="3">
        <v>46253</v>
      </c>
      <c r="C348" s="2" t="s">
        <v>23</v>
      </c>
      <c r="D348" s="2" t="s">
        <v>87</v>
      </c>
      <c r="E348" s="4"/>
      <c r="F348" s="10">
        <v>100</v>
      </c>
      <c r="G348" s="10">
        <v>57.5</v>
      </c>
      <c r="H348" s="3">
        <v>48019</v>
      </c>
      <c r="I348" s="4"/>
      <c r="J348" s="11"/>
      <c r="K348" s="11"/>
      <c r="L348" s="2" t="s">
        <v>82</v>
      </c>
      <c r="M348" s="12">
        <v>0.4</v>
      </c>
      <c r="N348" s="2" t="s">
        <v>83</v>
      </c>
      <c r="O348" s="13" t="s">
        <v>84</v>
      </c>
      <c r="P348" s="10"/>
      <c r="Q348" s="12"/>
      <c r="R348" s="5"/>
    </row>
    <row r="349" spans="1:18" x14ac:dyDescent="0.25">
      <c r="A349" s="6" t="s">
        <v>80</v>
      </c>
      <c r="B349" s="7">
        <v>46253</v>
      </c>
      <c r="C349" s="6" t="s">
        <v>26</v>
      </c>
      <c r="D349" s="6" t="s">
        <v>88</v>
      </c>
      <c r="E349" s="8"/>
      <c r="F349" s="14">
        <v>100</v>
      </c>
      <c r="G349" s="14">
        <v>46.5</v>
      </c>
      <c r="H349" s="7">
        <v>48019</v>
      </c>
      <c r="I349" s="8"/>
      <c r="J349" s="15"/>
      <c r="K349" s="15"/>
      <c r="L349" s="6" t="s">
        <v>82</v>
      </c>
      <c r="M349" s="16">
        <v>0.4</v>
      </c>
      <c r="N349" s="6" t="s">
        <v>83</v>
      </c>
      <c r="O349" s="13" t="s">
        <v>84</v>
      </c>
      <c r="P349" s="14"/>
      <c r="Q349" s="16"/>
      <c r="R349" s="9"/>
    </row>
    <row r="350" spans="1:18" x14ac:dyDescent="0.25">
      <c r="A350" s="2" t="s">
        <v>80</v>
      </c>
      <c r="B350" s="3">
        <v>46253</v>
      </c>
      <c r="C350" s="2" t="s">
        <v>29</v>
      </c>
      <c r="D350" s="2" t="s">
        <v>89</v>
      </c>
      <c r="E350" s="4"/>
      <c r="F350" s="10">
        <v>100</v>
      </c>
      <c r="G350" s="10">
        <v>92.67</v>
      </c>
      <c r="H350" s="3">
        <v>48019</v>
      </c>
      <c r="I350" s="4"/>
      <c r="J350" s="11"/>
      <c r="K350" s="11"/>
      <c r="L350" s="2" t="s">
        <v>82</v>
      </c>
      <c r="M350" s="12">
        <v>0.4</v>
      </c>
      <c r="N350" s="2" t="s">
        <v>83</v>
      </c>
      <c r="O350" s="13" t="s">
        <v>84</v>
      </c>
      <c r="P350" s="10"/>
      <c r="Q350" s="12"/>
      <c r="R350" s="5"/>
    </row>
    <row r="351" spans="1:18" x14ac:dyDescent="0.25">
      <c r="A351" s="6" t="s">
        <v>80</v>
      </c>
      <c r="B351" s="7">
        <v>46254</v>
      </c>
      <c r="C351" s="6" t="s">
        <v>9</v>
      </c>
      <c r="D351" s="6" t="s">
        <v>81</v>
      </c>
      <c r="E351" s="8"/>
      <c r="F351" s="14">
        <v>100</v>
      </c>
      <c r="G351" s="14">
        <v>208.5</v>
      </c>
      <c r="H351" s="7">
        <v>48019</v>
      </c>
      <c r="I351" s="8"/>
      <c r="J351" s="15"/>
      <c r="K351" s="15"/>
      <c r="L351" s="6" t="s">
        <v>82</v>
      </c>
      <c r="M351" s="16">
        <v>0.4</v>
      </c>
      <c r="N351" s="6" t="s">
        <v>83</v>
      </c>
      <c r="O351" s="13" t="s">
        <v>84</v>
      </c>
      <c r="P351" s="14"/>
      <c r="Q351" s="16"/>
      <c r="R351" s="9"/>
    </row>
    <row r="352" spans="1:18" x14ac:dyDescent="0.25">
      <c r="A352" s="2" t="s">
        <v>80</v>
      </c>
      <c r="B352" s="3">
        <v>46254</v>
      </c>
      <c r="C352" s="2" t="s">
        <v>14</v>
      </c>
      <c r="D352" s="2" t="s">
        <v>85</v>
      </c>
      <c r="E352" s="4"/>
      <c r="F352" s="10">
        <v>500</v>
      </c>
      <c r="G352" s="10">
        <v>760</v>
      </c>
      <c r="H352" s="3">
        <v>48019</v>
      </c>
      <c r="I352" s="4"/>
      <c r="J352" s="11"/>
      <c r="K352" s="11"/>
      <c r="L352" s="2" t="s">
        <v>82</v>
      </c>
      <c r="M352" s="12">
        <v>0.4</v>
      </c>
      <c r="N352" s="2" t="s">
        <v>83</v>
      </c>
      <c r="O352" s="13" t="s">
        <v>84</v>
      </c>
      <c r="P352" s="10"/>
      <c r="Q352" s="12"/>
      <c r="R352" s="5"/>
    </row>
    <row r="353" spans="1:18" x14ac:dyDescent="0.25">
      <c r="A353" s="6" t="s">
        <v>80</v>
      </c>
      <c r="B353" s="7">
        <v>46254</v>
      </c>
      <c r="C353" s="6" t="s">
        <v>17</v>
      </c>
      <c r="D353" s="6" t="s">
        <v>90</v>
      </c>
      <c r="E353" s="8"/>
      <c r="F353" s="14">
        <v>100</v>
      </c>
      <c r="G353" s="14">
        <v>85.75</v>
      </c>
      <c r="H353" s="7">
        <v>48019</v>
      </c>
      <c r="I353" s="8"/>
      <c r="J353" s="15"/>
      <c r="K353" s="15"/>
      <c r="L353" s="6" t="s">
        <v>82</v>
      </c>
      <c r="M353" s="16">
        <v>0.4</v>
      </c>
      <c r="N353" s="6" t="s">
        <v>83</v>
      </c>
      <c r="O353" s="13" t="s">
        <v>84</v>
      </c>
      <c r="P353" s="14"/>
      <c r="Q353" s="16"/>
      <c r="R353" s="9"/>
    </row>
    <row r="354" spans="1:18" x14ac:dyDescent="0.25">
      <c r="A354" s="2" t="s">
        <v>80</v>
      </c>
      <c r="B354" s="3">
        <v>46254</v>
      </c>
      <c r="C354" s="2" t="s">
        <v>20</v>
      </c>
      <c r="D354" s="2" t="s">
        <v>86</v>
      </c>
      <c r="E354" s="4"/>
      <c r="F354" s="10">
        <v>100</v>
      </c>
      <c r="G354" s="10">
        <v>63.29</v>
      </c>
      <c r="H354" s="3">
        <v>48019</v>
      </c>
      <c r="I354" s="4"/>
      <c r="J354" s="11"/>
      <c r="K354" s="11"/>
      <c r="L354" s="2" t="s">
        <v>82</v>
      </c>
      <c r="M354" s="12">
        <v>0.4</v>
      </c>
      <c r="N354" s="2" t="s">
        <v>83</v>
      </c>
      <c r="O354" s="13" t="s">
        <v>84</v>
      </c>
      <c r="P354" s="10"/>
      <c r="Q354" s="12"/>
      <c r="R354" s="5"/>
    </row>
    <row r="355" spans="1:18" x14ac:dyDescent="0.25">
      <c r="A355" s="6" t="s">
        <v>80</v>
      </c>
      <c r="B355" s="7">
        <v>46254</v>
      </c>
      <c r="C355" s="6" t="s">
        <v>23</v>
      </c>
      <c r="D355" s="6" t="s">
        <v>87</v>
      </c>
      <c r="E355" s="8"/>
      <c r="F355" s="14">
        <v>100</v>
      </c>
      <c r="G355" s="14">
        <v>58.25</v>
      </c>
      <c r="H355" s="7">
        <v>48019</v>
      </c>
      <c r="I355" s="8"/>
      <c r="J355" s="15"/>
      <c r="K355" s="15"/>
      <c r="L355" s="6" t="s">
        <v>82</v>
      </c>
      <c r="M355" s="16">
        <v>0.4</v>
      </c>
      <c r="N355" s="6" t="s">
        <v>83</v>
      </c>
      <c r="O355" s="13" t="s">
        <v>84</v>
      </c>
      <c r="P355" s="14"/>
      <c r="Q355" s="16"/>
      <c r="R355" s="9"/>
    </row>
    <row r="356" spans="1:18" x14ac:dyDescent="0.25">
      <c r="A356" s="2" t="s">
        <v>80</v>
      </c>
      <c r="B356" s="3">
        <v>46254</v>
      </c>
      <c r="C356" s="2" t="s">
        <v>26</v>
      </c>
      <c r="D356" s="2" t="s">
        <v>88</v>
      </c>
      <c r="E356" s="4"/>
      <c r="F356" s="10">
        <v>100</v>
      </c>
      <c r="G356" s="10">
        <v>47.25</v>
      </c>
      <c r="H356" s="3">
        <v>48019</v>
      </c>
      <c r="I356" s="4"/>
      <c r="J356" s="11"/>
      <c r="K356" s="11"/>
      <c r="L356" s="2" t="s">
        <v>82</v>
      </c>
      <c r="M356" s="12">
        <v>0.4</v>
      </c>
      <c r="N356" s="2" t="s">
        <v>83</v>
      </c>
      <c r="O356" s="13" t="s">
        <v>84</v>
      </c>
      <c r="P356" s="10"/>
      <c r="Q356" s="12"/>
      <c r="R356" s="5"/>
    </row>
    <row r="357" spans="1:18" x14ac:dyDescent="0.25">
      <c r="A357" s="6" t="s">
        <v>80</v>
      </c>
      <c r="B357" s="7">
        <v>46254</v>
      </c>
      <c r="C357" s="6" t="s">
        <v>29</v>
      </c>
      <c r="D357" s="6" t="s">
        <v>89</v>
      </c>
      <c r="E357" s="8"/>
      <c r="F357" s="14">
        <v>100</v>
      </c>
      <c r="G357" s="14">
        <v>94.33</v>
      </c>
      <c r="H357" s="7">
        <v>48019</v>
      </c>
      <c r="I357" s="8"/>
      <c r="J357" s="15"/>
      <c r="K357" s="15"/>
      <c r="L357" s="6" t="s">
        <v>82</v>
      </c>
      <c r="M357" s="16">
        <v>0.4</v>
      </c>
      <c r="N357" s="6" t="s">
        <v>83</v>
      </c>
      <c r="O357" s="13" t="s">
        <v>84</v>
      </c>
      <c r="P357" s="14"/>
      <c r="Q357" s="16"/>
      <c r="R357" s="9"/>
    </row>
    <row r="358" spans="1:18" x14ac:dyDescent="0.25">
      <c r="A358" s="2" t="s">
        <v>80</v>
      </c>
      <c r="B358" s="3">
        <v>46255</v>
      </c>
      <c r="C358" s="2" t="s">
        <v>9</v>
      </c>
      <c r="D358" s="2" t="s">
        <v>81</v>
      </c>
      <c r="E358" s="4"/>
      <c r="F358" s="10">
        <v>100</v>
      </c>
      <c r="G358" s="10">
        <v>214</v>
      </c>
      <c r="H358" s="3">
        <v>48019</v>
      </c>
      <c r="I358" s="4"/>
      <c r="J358" s="11"/>
      <c r="K358" s="11"/>
      <c r="L358" s="2" t="s">
        <v>82</v>
      </c>
      <c r="M358" s="12">
        <v>0.4</v>
      </c>
      <c r="N358" s="2" t="s">
        <v>83</v>
      </c>
      <c r="O358" s="13" t="s">
        <v>84</v>
      </c>
      <c r="P358" s="10"/>
      <c r="Q358" s="12"/>
      <c r="R358" s="5"/>
    </row>
    <row r="359" spans="1:18" x14ac:dyDescent="0.25">
      <c r="A359" s="6" t="s">
        <v>80</v>
      </c>
      <c r="B359" s="7">
        <v>46255</v>
      </c>
      <c r="C359" s="6" t="s">
        <v>14</v>
      </c>
      <c r="D359" s="6" t="s">
        <v>85</v>
      </c>
      <c r="E359" s="8"/>
      <c r="F359" s="14">
        <v>500</v>
      </c>
      <c r="G359" s="14">
        <v>790</v>
      </c>
      <c r="H359" s="7">
        <v>48019</v>
      </c>
      <c r="I359" s="8"/>
      <c r="J359" s="15"/>
      <c r="K359" s="15"/>
      <c r="L359" s="6" t="s">
        <v>82</v>
      </c>
      <c r="M359" s="16">
        <v>0.4</v>
      </c>
      <c r="N359" s="6" t="s">
        <v>83</v>
      </c>
      <c r="O359" s="13" t="s">
        <v>84</v>
      </c>
      <c r="P359" s="14"/>
      <c r="Q359" s="16"/>
      <c r="R359" s="9"/>
    </row>
    <row r="360" spans="1:18" x14ac:dyDescent="0.25">
      <c r="A360" s="2" t="s">
        <v>80</v>
      </c>
      <c r="B360" s="3">
        <v>46255</v>
      </c>
      <c r="C360" s="2" t="s">
        <v>17</v>
      </c>
      <c r="D360" s="2" t="s">
        <v>90</v>
      </c>
      <c r="E360" s="4"/>
      <c r="F360" s="10">
        <v>100</v>
      </c>
      <c r="G360" s="10">
        <v>87</v>
      </c>
      <c r="H360" s="3">
        <v>48019</v>
      </c>
      <c r="I360" s="4"/>
      <c r="J360" s="11"/>
      <c r="K360" s="11"/>
      <c r="L360" s="2" t="s">
        <v>82</v>
      </c>
      <c r="M360" s="12">
        <v>0.4</v>
      </c>
      <c r="N360" s="2" t="s">
        <v>83</v>
      </c>
      <c r="O360" s="13" t="s">
        <v>84</v>
      </c>
      <c r="P360" s="10"/>
      <c r="Q360" s="12"/>
      <c r="R360" s="5"/>
    </row>
    <row r="361" spans="1:18" x14ac:dyDescent="0.25">
      <c r="A361" s="6" t="s">
        <v>80</v>
      </c>
      <c r="B361" s="7">
        <v>46255</v>
      </c>
      <c r="C361" s="6" t="s">
        <v>20</v>
      </c>
      <c r="D361" s="6" t="s">
        <v>86</v>
      </c>
      <c r="E361" s="8"/>
      <c r="F361" s="14">
        <v>100</v>
      </c>
      <c r="G361" s="14">
        <v>65</v>
      </c>
      <c r="H361" s="7">
        <v>48019</v>
      </c>
      <c r="I361" s="8"/>
      <c r="J361" s="15"/>
      <c r="K361" s="15"/>
      <c r="L361" s="6" t="s">
        <v>82</v>
      </c>
      <c r="M361" s="16">
        <v>0.4</v>
      </c>
      <c r="N361" s="6" t="s">
        <v>83</v>
      </c>
      <c r="O361" s="13" t="s">
        <v>84</v>
      </c>
      <c r="P361" s="14"/>
      <c r="Q361" s="16"/>
      <c r="R361" s="9"/>
    </row>
    <row r="362" spans="1:18" x14ac:dyDescent="0.25">
      <c r="A362" s="2" t="s">
        <v>80</v>
      </c>
      <c r="B362" s="3">
        <v>46255</v>
      </c>
      <c r="C362" s="2" t="s">
        <v>23</v>
      </c>
      <c r="D362" s="2" t="s">
        <v>87</v>
      </c>
      <c r="E362" s="4"/>
      <c r="F362" s="10">
        <v>100</v>
      </c>
      <c r="G362" s="10">
        <v>59</v>
      </c>
      <c r="H362" s="3">
        <v>48019</v>
      </c>
      <c r="I362" s="4"/>
      <c r="J362" s="11"/>
      <c r="K362" s="11"/>
      <c r="L362" s="2" t="s">
        <v>82</v>
      </c>
      <c r="M362" s="12">
        <v>0.4</v>
      </c>
      <c r="N362" s="2" t="s">
        <v>83</v>
      </c>
      <c r="O362" s="13" t="s">
        <v>84</v>
      </c>
      <c r="P362" s="10"/>
      <c r="Q362" s="12"/>
      <c r="R362" s="5"/>
    </row>
    <row r="363" spans="1:18" x14ac:dyDescent="0.25">
      <c r="A363" s="6" t="s">
        <v>80</v>
      </c>
      <c r="B363" s="7">
        <v>46255</v>
      </c>
      <c r="C363" s="6" t="s">
        <v>26</v>
      </c>
      <c r="D363" s="6" t="s">
        <v>88</v>
      </c>
      <c r="E363" s="8"/>
      <c r="F363" s="14">
        <v>100</v>
      </c>
      <c r="G363" s="14">
        <v>48</v>
      </c>
      <c r="H363" s="7">
        <v>48019</v>
      </c>
      <c r="I363" s="8"/>
      <c r="J363" s="15"/>
      <c r="K363" s="15"/>
      <c r="L363" s="6" t="s">
        <v>82</v>
      </c>
      <c r="M363" s="16">
        <v>0.4</v>
      </c>
      <c r="N363" s="6" t="s">
        <v>83</v>
      </c>
      <c r="O363" s="13" t="s">
        <v>84</v>
      </c>
      <c r="P363" s="14"/>
      <c r="Q363" s="16"/>
      <c r="R363" s="9"/>
    </row>
    <row r="364" spans="1:18" x14ac:dyDescent="0.25">
      <c r="A364" s="2" t="s">
        <v>80</v>
      </c>
      <c r="B364" s="3">
        <v>46255</v>
      </c>
      <c r="C364" s="2" t="s">
        <v>29</v>
      </c>
      <c r="D364" s="2" t="s">
        <v>89</v>
      </c>
      <c r="E364" s="4"/>
      <c r="F364" s="10">
        <v>100</v>
      </c>
      <c r="G364" s="10">
        <v>96</v>
      </c>
      <c r="H364" s="3">
        <v>48019</v>
      </c>
      <c r="I364" s="4"/>
      <c r="J364" s="11"/>
      <c r="K364" s="11"/>
      <c r="L364" s="2" t="s">
        <v>82</v>
      </c>
      <c r="M364" s="12">
        <v>0.4</v>
      </c>
      <c r="N364" s="2" t="s">
        <v>83</v>
      </c>
      <c r="O364" s="13" t="s">
        <v>84</v>
      </c>
      <c r="P364" s="10"/>
      <c r="Q364" s="12"/>
      <c r="R364" s="5"/>
    </row>
    <row r="365" spans="1:18" x14ac:dyDescent="0.25">
      <c r="A365" s="6" t="s">
        <v>8</v>
      </c>
      <c r="B365" s="7">
        <v>46258</v>
      </c>
      <c r="C365" s="6" t="s">
        <v>9</v>
      </c>
      <c r="D365" s="6" t="s">
        <v>11</v>
      </c>
      <c r="E365" s="8">
        <v>95.0309</v>
      </c>
      <c r="F365" s="14">
        <v>100</v>
      </c>
      <c r="G365" s="14">
        <v>223.30088522481057</v>
      </c>
      <c r="H365" s="7">
        <v>48019</v>
      </c>
      <c r="I365" s="8">
        <v>95.03089999999973</v>
      </c>
      <c r="J365" s="15">
        <v>2.7000623958883807e-13</v>
      </c>
      <c r="K365" s="15">
        <v>0.03752941310040114</v>
      </c>
      <c r="L365" s="6" t="s">
        <v>91</v>
      </c>
      <c r="M365" s="16">
        <v>0.4</v>
      </c>
      <c r="N365" s="6" t="s">
        <v>92</v>
      </c>
      <c r="O365" s="17" t="s">
        <v>93</v>
      </c>
      <c r="P365" s="14"/>
      <c r="Q365" s="16"/>
      <c r="R365" s="9" t="s">
        <v>12</v>
      </c>
    </row>
    <row r="366" spans="1:18" x14ac:dyDescent="0.25">
      <c r="A366" s="2" t="s">
        <v>8</v>
      </c>
      <c r="B366" s="3">
        <v>46258</v>
      </c>
      <c r="C366" s="2" t="s">
        <v>14</v>
      </c>
      <c r="D366" s="2" t="s">
        <v>16</v>
      </c>
      <c r="E366" s="4">
        <v>90.0135</v>
      </c>
      <c r="F366" s="10">
        <v>500</v>
      </c>
      <c r="G366" s="10">
        <v>806.1392991612953</v>
      </c>
      <c r="H366" s="3">
        <v>48019</v>
      </c>
      <c r="I366" s="4">
        <v>90.0134999999915</v>
      </c>
      <c r="J366" s="11">
        <v>8.498091119690798e-12</v>
      </c>
      <c r="K366" s="11">
        <v>0.13551098243908655</v>
      </c>
      <c r="L366" s="2" t="s">
        <v>91</v>
      </c>
      <c r="M366" s="12">
        <v>0.4</v>
      </c>
      <c r="N366" s="2" t="s">
        <v>92</v>
      </c>
      <c r="O366" s="17" t="s">
        <v>93</v>
      </c>
      <c r="P366" s="10"/>
      <c r="Q366" s="12"/>
      <c r="R366" s="5" t="s">
        <v>12</v>
      </c>
    </row>
    <row r="367" spans="1:18" x14ac:dyDescent="0.25">
      <c r="A367" s="6" t="s">
        <v>8</v>
      </c>
      <c r="B367" s="7">
        <v>46258</v>
      </c>
      <c r="C367" s="6" t="s">
        <v>17</v>
      </c>
      <c r="D367" s="6" t="s">
        <v>19</v>
      </c>
      <c r="E367" s="8">
        <v>100.5487</v>
      </c>
      <c r="F367" s="14">
        <v>100</v>
      </c>
      <c r="G367" s="14">
        <v>87.07546545214814</v>
      </c>
      <c r="H367" s="7">
        <v>48019</v>
      </c>
      <c r="I367" s="8">
        <v>100.54869999996743</v>
      </c>
      <c r="J367" s="15">
        <v>3.257127900724299e-11</v>
      </c>
      <c r="K367" s="15">
        <v>0.014634029105593527</v>
      </c>
      <c r="L367" s="6" t="s">
        <v>91</v>
      </c>
      <c r="M367" s="16">
        <v>0.4</v>
      </c>
      <c r="N367" s="6" t="s">
        <v>92</v>
      </c>
      <c r="O367" s="17" t="s">
        <v>93</v>
      </c>
      <c r="P367" s="14"/>
      <c r="Q367" s="16"/>
      <c r="R367" s="9" t="s">
        <v>12</v>
      </c>
    </row>
    <row r="368" spans="1:18" x14ac:dyDescent="0.25">
      <c r="A368" s="2" t="s">
        <v>8</v>
      </c>
      <c r="B368" s="3">
        <v>46258</v>
      </c>
      <c r="C368" s="2" t="s">
        <v>20</v>
      </c>
      <c r="D368" s="2" t="s">
        <v>22</v>
      </c>
      <c r="E368" s="4">
        <v>101.4668</v>
      </c>
      <c r="F368" s="10">
        <v>100</v>
      </c>
      <c r="G368" s="10">
        <v>65.73355523599807</v>
      </c>
      <c r="H368" s="3">
        <v>48019</v>
      </c>
      <c r="I368" s="4">
        <v>101.4667999999846</v>
      </c>
      <c r="J368" s="11">
        <v>1.5404566511278972e-11</v>
      </c>
      <c r="K368" s="11">
        <v>0.011047229474741016</v>
      </c>
      <c r="L368" s="2" t="s">
        <v>91</v>
      </c>
      <c r="M368" s="12">
        <v>0.4</v>
      </c>
      <c r="N368" s="2" t="s">
        <v>92</v>
      </c>
      <c r="O368" s="17" t="s">
        <v>93</v>
      </c>
      <c r="P368" s="10"/>
      <c r="Q368" s="12"/>
      <c r="R368" s="5" t="s">
        <v>12</v>
      </c>
    </row>
    <row r="369" spans="1:18" x14ac:dyDescent="0.25">
      <c r="A369" s="6" t="s">
        <v>8</v>
      </c>
      <c r="B369" s="7">
        <v>46258</v>
      </c>
      <c r="C369" s="6" t="s">
        <v>23</v>
      </c>
      <c r="D369" s="6" t="s">
        <v>25</v>
      </c>
      <c r="E369" s="8">
        <v>101.7418</v>
      </c>
      <c r="F369" s="14">
        <v>100</v>
      </c>
      <c r="G369" s="14">
        <v>59.408709349107504</v>
      </c>
      <c r="H369" s="7">
        <v>48019</v>
      </c>
      <c r="I369" s="8">
        <v>101.74179999998722</v>
      </c>
      <c r="J369" s="15">
        <v>1.2775558388966601e-11</v>
      </c>
      <c r="K369" s="15">
        <v>0.009984258847168803</v>
      </c>
      <c r="L369" s="6" t="s">
        <v>91</v>
      </c>
      <c r="M369" s="16">
        <v>0.4</v>
      </c>
      <c r="N369" s="6" t="s">
        <v>92</v>
      </c>
      <c r="O369" s="17" t="s">
        <v>93</v>
      </c>
      <c r="P369" s="14"/>
      <c r="Q369" s="16"/>
      <c r="R369" s="9" t="s">
        <v>12</v>
      </c>
    </row>
    <row r="370" spans="1:18" x14ac:dyDescent="0.25">
      <c r="A370" s="2" t="s">
        <v>8</v>
      </c>
      <c r="B370" s="3">
        <v>46258</v>
      </c>
      <c r="C370" s="2" t="s">
        <v>26</v>
      </c>
      <c r="D370" s="2" t="s">
        <v>28</v>
      </c>
      <c r="E370" s="4">
        <v>102.2015</v>
      </c>
      <c r="F370" s="10">
        <v>100</v>
      </c>
      <c r="G370" s="10">
        <v>48.90425207812754</v>
      </c>
      <c r="H370" s="3">
        <v>48019</v>
      </c>
      <c r="I370" s="4">
        <v>102.20149999995319</v>
      </c>
      <c r="J370" s="11">
        <v>4.68105554318754e-11</v>
      </c>
      <c r="K370" s="11">
        <v>0.00821885752174012</v>
      </c>
      <c r="L370" s="2" t="s">
        <v>91</v>
      </c>
      <c r="M370" s="12">
        <v>0.4</v>
      </c>
      <c r="N370" s="2" t="s">
        <v>92</v>
      </c>
      <c r="O370" s="17" t="s">
        <v>93</v>
      </c>
      <c r="P370" s="10"/>
      <c r="Q370" s="12"/>
      <c r="R370" s="5" t="s">
        <v>12</v>
      </c>
    </row>
    <row r="371" spans="1:18" x14ac:dyDescent="0.25">
      <c r="A371" s="6" t="s">
        <v>8</v>
      </c>
      <c r="B371" s="7">
        <v>46258</v>
      </c>
      <c r="C371" s="6" t="s">
        <v>29</v>
      </c>
      <c r="D371" s="6" t="s">
        <v>31</v>
      </c>
      <c r="E371" s="8">
        <v>100.1232</v>
      </c>
      <c r="F371" s="14">
        <v>100</v>
      </c>
      <c r="G371" s="14">
        <v>97.08682120313722</v>
      </c>
      <c r="H371" s="7">
        <v>48019</v>
      </c>
      <c r="I371" s="8">
        <v>100.12319999998593</v>
      </c>
      <c r="J371" s="15">
        <v>1.4068746168049984e-11</v>
      </c>
      <c r="K371" s="15">
        <v>0.016316585555102847</v>
      </c>
      <c r="L371" s="6" t="s">
        <v>91</v>
      </c>
      <c r="M371" s="16">
        <v>0.4</v>
      </c>
      <c r="N371" s="6" t="s">
        <v>92</v>
      </c>
      <c r="O371" s="17" t="s">
        <v>93</v>
      </c>
      <c r="P371" s="14"/>
      <c r="Q371" s="16"/>
      <c r="R371" s="9" t="s">
        <v>12</v>
      </c>
    </row>
    <row r="372" spans="1:18" x14ac:dyDescent="0.25">
      <c r="A372" s="2" t="s">
        <v>32</v>
      </c>
      <c r="B372" s="3">
        <v>46259</v>
      </c>
      <c r="C372" s="2" t="s">
        <v>9</v>
      </c>
      <c r="D372" s="2" t="s">
        <v>11</v>
      </c>
      <c r="E372" s="4">
        <v>95.3261</v>
      </c>
      <c r="F372" s="10">
        <v>100</v>
      </c>
      <c r="G372" s="10">
        <v>215.5305448223161</v>
      </c>
      <c r="H372" s="3">
        <v>48019</v>
      </c>
      <c r="I372" s="4">
        <v>95.32609999998802</v>
      </c>
      <c r="J372" s="11">
        <v>1.1979750524915289e-11</v>
      </c>
      <c r="K372" s="11">
        <v>0.036226090652746734</v>
      </c>
      <c r="L372" s="2" t="s">
        <v>94</v>
      </c>
      <c r="M372" s="12">
        <v>0.4</v>
      </c>
      <c r="N372" s="2" t="s">
        <v>92</v>
      </c>
      <c r="O372" s="17" t="s">
        <v>93</v>
      </c>
      <c r="P372" s="10"/>
      <c r="Q372" s="12"/>
      <c r="R372" s="5" t="s">
        <v>12</v>
      </c>
    </row>
    <row r="373" spans="1:18" x14ac:dyDescent="0.25">
      <c r="A373" s="6" t="s">
        <v>32</v>
      </c>
      <c r="B373" s="7">
        <v>46259</v>
      </c>
      <c r="C373" s="6" t="s">
        <v>14</v>
      </c>
      <c r="D373" s="6" t="s">
        <v>16</v>
      </c>
      <c r="E373" s="8">
        <v>90.5145</v>
      </c>
      <c r="F373" s="14">
        <v>500</v>
      </c>
      <c r="G373" s="14">
        <v>788.7786693247883</v>
      </c>
      <c r="H373" s="7">
        <v>48019</v>
      </c>
      <c r="I373" s="8">
        <v>90.51450000001813</v>
      </c>
      <c r="J373" s="15">
        <v>1.8133050616597757e-11</v>
      </c>
      <c r="K373" s="15">
        <v>0.1326013266000814</v>
      </c>
      <c r="L373" s="6" t="s">
        <v>94</v>
      </c>
      <c r="M373" s="16">
        <v>0.4</v>
      </c>
      <c r="N373" s="6" t="s">
        <v>92</v>
      </c>
      <c r="O373" s="17" t="s">
        <v>93</v>
      </c>
      <c r="P373" s="14"/>
      <c r="Q373" s="16"/>
      <c r="R373" s="9" t="s">
        <v>12</v>
      </c>
    </row>
    <row r="374" spans="1:18" x14ac:dyDescent="0.25">
      <c r="A374" s="2" t="s">
        <v>32</v>
      </c>
      <c r="B374" s="3">
        <v>46259</v>
      </c>
      <c r="C374" s="2" t="s">
        <v>17</v>
      </c>
      <c r="D374" s="2" t="s">
        <v>19</v>
      </c>
      <c r="E374" s="4">
        <v>100.5896</v>
      </c>
      <c r="F374" s="10">
        <v>100</v>
      </c>
      <c r="G374" s="10">
        <v>86.12977500381851</v>
      </c>
      <c r="H374" s="3">
        <v>48019</v>
      </c>
      <c r="I374" s="4">
        <v>100.58959999999735</v>
      </c>
      <c r="J374" s="11">
        <v>2.6574298317427747e-12</v>
      </c>
      <c r="K374" s="11">
        <v>0.014476168402381973</v>
      </c>
      <c r="L374" s="2" t="s">
        <v>94</v>
      </c>
      <c r="M374" s="12">
        <v>0.4</v>
      </c>
      <c r="N374" s="2" t="s">
        <v>92</v>
      </c>
      <c r="O374" s="17" t="s">
        <v>93</v>
      </c>
      <c r="P374" s="10"/>
      <c r="Q374" s="12"/>
      <c r="R374" s="5" t="s">
        <v>12</v>
      </c>
    </row>
    <row r="375" spans="1:18" x14ac:dyDescent="0.25">
      <c r="A375" s="6" t="s">
        <v>32</v>
      </c>
      <c r="B375" s="7">
        <v>46259</v>
      </c>
      <c r="C375" s="6" t="s">
        <v>20</v>
      </c>
      <c r="D375" s="6" t="s">
        <v>22</v>
      </c>
      <c r="E375" s="8">
        <v>101.4411</v>
      </c>
      <c r="F375" s="14">
        <v>100</v>
      </c>
      <c r="G375" s="14">
        <v>66.35649537009513</v>
      </c>
      <c r="H375" s="7">
        <v>48019</v>
      </c>
      <c r="I375" s="8">
        <v>101.4410999999876</v>
      </c>
      <c r="J375" s="15">
        <v>1.240607616637135e-11</v>
      </c>
      <c r="K375" s="15">
        <v>0.011152752340706229</v>
      </c>
      <c r="L375" s="6" t="s">
        <v>94</v>
      </c>
      <c r="M375" s="16">
        <v>0.4</v>
      </c>
      <c r="N375" s="6" t="s">
        <v>92</v>
      </c>
      <c r="O375" s="17" t="s">
        <v>93</v>
      </c>
      <c r="P375" s="14"/>
      <c r="Q375" s="16"/>
      <c r="R375" s="9" t="s">
        <v>12</v>
      </c>
    </row>
    <row r="376" spans="1:18" x14ac:dyDescent="0.25">
      <c r="A376" s="2" t="s">
        <v>32</v>
      </c>
      <c r="B376" s="3">
        <v>46259</v>
      </c>
      <c r="C376" s="2" t="s">
        <v>23</v>
      </c>
      <c r="D376" s="2" t="s">
        <v>25</v>
      </c>
      <c r="E376" s="4">
        <v>101.7242</v>
      </c>
      <c r="F376" s="10">
        <v>100</v>
      </c>
      <c r="G376" s="10">
        <v>59.84862813071712</v>
      </c>
      <c r="H376" s="3">
        <v>48019</v>
      </c>
      <c r="I376" s="4">
        <v>101.72419999998381</v>
      </c>
      <c r="J376" s="11">
        <v>1.6186163520615082e-11</v>
      </c>
      <c r="K376" s="11">
        <v>0.010058941215618233</v>
      </c>
      <c r="L376" s="2" t="s">
        <v>94</v>
      </c>
      <c r="M376" s="12">
        <v>0.4</v>
      </c>
      <c r="N376" s="2" t="s">
        <v>92</v>
      </c>
      <c r="O376" s="17" t="s">
        <v>93</v>
      </c>
      <c r="P376" s="10"/>
      <c r="Q376" s="12"/>
      <c r="R376" s="5" t="s">
        <v>12</v>
      </c>
    </row>
    <row r="377" spans="1:18" x14ac:dyDescent="0.25">
      <c r="A377" s="6" t="s">
        <v>32</v>
      </c>
      <c r="B377" s="7">
        <v>46259</v>
      </c>
      <c r="C377" s="6" t="s">
        <v>26</v>
      </c>
      <c r="D377" s="6" t="s">
        <v>28</v>
      </c>
      <c r="E377" s="8">
        <v>102.2168</v>
      </c>
      <c r="F377" s="14">
        <v>100</v>
      </c>
      <c r="G377" s="14">
        <v>48.60206504108383</v>
      </c>
      <c r="H377" s="7">
        <v>48019</v>
      </c>
      <c r="I377" s="8">
        <v>102.2168000000143</v>
      </c>
      <c r="J377" s="15">
        <v>1.4296119843493216e-11</v>
      </c>
      <c r="K377" s="15">
        <v>0.008168679549669378</v>
      </c>
      <c r="L377" s="6" t="s">
        <v>94</v>
      </c>
      <c r="M377" s="16">
        <v>0.4</v>
      </c>
      <c r="N377" s="6" t="s">
        <v>92</v>
      </c>
      <c r="O377" s="17" t="s">
        <v>93</v>
      </c>
      <c r="P377" s="14"/>
      <c r="Q377" s="16"/>
      <c r="R377" s="9" t="s">
        <v>12</v>
      </c>
    </row>
    <row r="378" spans="1:18" x14ac:dyDescent="0.25">
      <c r="A378" s="2" t="s">
        <v>32</v>
      </c>
      <c r="B378" s="3">
        <v>46259</v>
      </c>
      <c r="C378" s="2" t="s">
        <v>29</v>
      </c>
      <c r="D378" s="2" t="s">
        <v>31</v>
      </c>
      <c r="E378" s="4">
        <v>100.1787</v>
      </c>
      <c r="F378" s="10">
        <v>100</v>
      </c>
      <c r="G378" s="10">
        <v>95.78044091937431</v>
      </c>
      <c r="H378" s="3">
        <v>48019</v>
      </c>
      <c r="I378" s="4">
        <v>100.17870000001257</v>
      </c>
      <c r="J378" s="11">
        <v>1.2562395568238571e-11</v>
      </c>
      <c r="K378" s="11">
        <v>0.01609822495396429</v>
      </c>
      <c r="L378" s="2" t="s">
        <v>94</v>
      </c>
      <c r="M378" s="12">
        <v>0.4</v>
      </c>
      <c r="N378" s="2" t="s">
        <v>92</v>
      </c>
      <c r="O378" s="17" t="s">
        <v>93</v>
      </c>
      <c r="P378" s="10"/>
      <c r="Q378" s="12"/>
      <c r="R378" s="5" t="s">
        <v>12</v>
      </c>
    </row>
    <row r="379" spans="1:18" x14ac:dyDescent="0.25">
      <c r="A379" s="6" t="s">
        <v>34</v>
      </c>
      <c r="B379" s="7">
        <v>46260</v>
      </c>
      <c r="C379" s="6" t="s">
        <v>9</v>
      </c>
      <c r="D379" s="6" t="s">
        <v>11</v>
      </c>
      <c r="E379" s="8">
        <v>95.4781</v>
      </c>
      <c r="F379" s="14">
        <v>100</v>
      </c>
      <c r="G379" s="14">
        <v>211.73480562095</v>
      </c>
      <c r="H379" s="7">
        <v>48019</v>
      </c>
      <c r="I379" s="8">
        <v>95.47810000001977</v>
      </c>
      <c r="J379" s="15">
        <v>1.9767298908845987e-11</v>
      </c>
      <c r="K379" s="15">
        <v>0.035587036755657664</v>
      </c>
      <c r="L379" s="6" t="s">
        <v>95</v>
      </c>
      <c r="M379" s="16">
        <v>0.4</v>
      </c>
      <c r="N379" s="6" t="s">
        <v>92</v>
      </c>
      <c r="O379" s="17" t="s">
        <v>93</v>
      </c>
      <c r="P379" s="14"/>
      <c r="Q379" s="16"/>
      <c r="R379" s="9" t="s">
        <v>12</v>
      </c>
    </row>
    <row r="380" spans="1:18" x14ac:dyDescent="0.25">
      <c r="A380" s="2" t="s">
        <v>34</v>
      </c>
      <c r="B380" s="3">
        <v>46260</v>
      </c>
      <c r="C380" s="2" t="s">
        <v>14</v>
      </c>
      <c r="D380" s="2" t="s">
        <v>16</v>
      </c>
      <c r="E380" s="4">
        <v>90.7249</v>
      </c>
      <c r="F380" s="10">
        <v>500</v>
      </c>
      <c r="G380" s="10">
        <v>781.9632880309412</v>
      </c>
      <c r="H380" s="3">
        <v>48019</v>
      </c>
      <c r="I380" s="4">
        <v>90.72489999999979</v>
      </c>
      <c r="J380" s="11">
        <v>2.1316282072803006e-13</v>
      </c>
      <c r="K380" s="11">
        <v>0.13145127181871885</v>
      </c>
      <c r="L380" s="2" t="s">
        <v>95</v>
      </c>
      <c r="M380" s="12">
        <v>0.4</v>
      </c>
      <c r="N380" s="2" t="s">
        <v>92</v>
      </c>
      <c r="O380" s="17" t="s">
        <v>93</v>
      </c>
      <c r="P380" s="10"/>
      <c r="Q380" s="12"/>
      <c r="R380" s="5" t="s">
        <v>12</v>
      </c>
    </row>
    <row r="381" spans="1:18" x14ac:dyDescent="0.25">
      <c r="A381" s="6" t="s">
        <v>34</v>
      </c>
      <c r="B381" s="7">
        <v>46260</v>
      </c>
      <c r="C381" s="6" t="s">
        <v>17</v>
      </c>
      <c r="D381" s="6" t="s">
        <v>19</v>
      </c>
      <c r="E381" s="8">
        <v>100.6923</v>
      </c>
      <c r="F381" s="14">
        <v>100</v>
      </c>
      <c r="G381" s="14">
        <v>83.71050316982073</v>
      </c>
      <c r="H381" s="7">
        <v>48019</v>
      </c>
      <c r="I381" s="8">
        <v>100.69230000004843</v>
      </c>
      <c r="J381" s="15">
        <v>4.843059286940843e-11</v>
      </c>
      <c r="K381" s="15">
        <v>0.014069138541401571</v>
      </c>
      <c r="L381" s="6" t="s">
        <v>95</v>
      </c>
      <c r="M381" s="16">
        <v>0.4</v>
      </c>
      <c r="N381" s="6" t="s">
        <v>92</v>
      </c>
      <c r="O381" s="17" t="s">
        <v>93</v>
      </c>
      <c r="P381" s="14"/>
      <c r="Q381" s="16"/>
      <c r="R381" s="9" t="s">
        <v>12</v>
      </c>
    </row>
    <row r="382" spans="1:18" x14ac:dyDescent="0.25">
      <c r="A382" s="2" t="s">
        <v>34</v>
      </c>
      <c r="B382" s="3">
        <v>46260</v>
      </c>
      <c r="C382" s="2" t="s">
        <v>20</v>
      </c>
      <c r="D382" s="2" t="s">
        <v>22</v>
      </c>
      <c r="E382" s="4">
        <v>101.4737</v>
      </c>
      <c r="F382" s="10">
        <v>100</v>
      </c>
      <c r="G382" s="10">
        <v>65.56668006177567</v>
      </c>
      <c r="H382" s="3">
        <v>48019</v>
      </c>
      <c r="I382" s="4">
        <v>101.47369999999796</v>
      </c>
      <c r="J382" s="11">
        <v>2.0321522242738865e-12</v>
      </c>
      <c r="K382" s="11">
        <v>0.011019685862834194</v>
      </c>
      <c r="L382" s="2" t="s">
        <v>95</v>
      </c>
      <c r="M382" s="12">
        <v>0.4</v>
      </c>
      <c r="N382" s="2" t="s">
        <v>92</v>
      </c>
      <c r="O382" s="17" t="s">
        <v>93</v>
      </c>
      <c r="P382" s="10"/>
      <c r="Q382" s="12"/>
      <c r="R382" s="5" t="s">
        <v>12</v>
      </c>
    </row>
    <row r="383" spans="1:18" x14ac:dyDescent="0.25">
      <c r="A383" s="6" t="s">
        <v>34</v>
      </c>
      <c r="B383" s="7">
        <v>46260</v>
      </c>
      <c r="C383" s="6" t="s">
        <v>23</v>
      </c>
      <c r="D383" s="6" t="s">
        <v>25</v>
      </c>
      <c r="E383" s="8">
        <v>101.7728</v>
      </c>
      <c r="F383" s="14">
        <v>100</v>
      </c>
      <c r="G383" s="14">
        <v>58.68823969442203</v>
      </c>
      <c r="H383" s="7">
        <v>48019</v>
      </c>
      <c r="I383" s="8">
        <v>101.77279999994808</v>
      </c>
      <c r="J383" s="15">
        <v>5.192646312934812e-11</v>
      </c>
      <c r="K383" s="15">
        <v>0.00986362456359302</v>
      </c>
      <c r="L383" s="6" t="s">
        <v>95</v>
      </c>
      <c r="M383" s="16">
        <v>0.4</v>
      </c>
      <c r="N383" s="6" t="s">
        <v>92</v>
      </c>
      <c r="O383" s="17" t="s">
        <v>93</v>
      </c>
      <c r="P383" s="14"/>
      <c r="Q383" s="16"/>
      <c r="R383" s="9" t="s">
        <v>12</v>
      </c>
    </row>
    <row r="384" spans="1:18" x14ac:dyDescent="0.25">
      <c r="A384" s="2" t="s">
        <v>34</v>
      </c>
      <c r="B384" s="3">
        <v>46260</v>
      </c>
      <c r="C384" s="2" t="s">
        <v>26</v>
      </c>
      <c r="D384" s="2" t="s">
        <v>28</v>
      </c>
      <c r="E384" s="4">
        <v>102.2791</v>
      </c>
      <c r="F384" s="10">
        <v>100</v>
      </c>
      <c r="G384" s="10">
        <v>47.127226034305586</v>
      </c>
      <c r="H384" s="3">
        <v>48019</v>
      </c>
      <c r="I384" s="4">
        <v>102.27909999993616</v>
      </c>
      <c r="J384" s="11">
        <v>6.38351593806874e-11</v>
      </c>
      <c r="K384" s="11">
        <v>0.007920569017016987</v>
      </c>
      <c r="L384" s="2" t="s">
        <v>95</v>
      </c>
      <c r="M384" s="12">
        <v>0.4</v>
      </c>
      <c r="N384" s="2" t="s">
        <v>92</v>
      </c>
      <c r="O384" s="17" t="s">
        <v>93</v>
      </c>
      <c r="P384" s="10"/>
      <c r="Q384" s="12"/>
      <c r="R384" s="5" t="s">
        <v>12</v>
      </c>
    </row>
    <row r="385" spans="1:18" x14ac:dyDescent="0.25">
      <c r="A385" s="6" t="s">
        <v>34</v>
      </c>
      <c r="B385" s="7">
        <v>46260</v>
      </c>
      <c r="C385" s="6" t="s">
        <v>29</v>
      </c>
      <c r="D385" s="6" t="s">
        <v>31</v>
      </c>
      <c r="E385" s="8">
        <v>100.31</v>
      </c>
      <c r="F385" s="14">
        <v>100</v>
      </c>
      <c r="G385" s="14">
        <v>92.68057722690345</v>
      </c>
      <c r="H385" s="7">
        <v>48019</v>
      </c>
      <c r="I385" s="8">
        <v>100.3099999999941</v>
      </c>
      <c r="J385" s="15">
        <v>5.8975047068088315e-12</v>
      </c>
      <c r="K385" s="15">
        <v>0.015576757452606671</v>
      </c>
      <c r="L385" s="6" t="s">
        <v>95</v>
      </c>
      <c r="M385" s="16">
        <v>0.4</v>
      </c>
      <c r="N385" s="6" t="s">
        <v>92</v>
      </c>
      <c r="O385" s="17" t="s">
        <v>93</v>
      </c>
      <c r="P385" s="14"/>
      <c r="Q385" s="16"/>
      <c r="R385" s="9" t="s">
        <v>12</v>
      </c>
    </row>
    <row r="386" spans="1:18" x14ac:dyDescent="0.25">
      <c r="A386" s="2" t="s">
        <v>36</v>
      </c>
      <c r="B386" s="3">
        <v>46261</v>
      </c>
      <c r="C386" s="2" t="s">
        <v>9</v>
      </c>
      <c r="D386" s="2" t="s">
        <v>11</v>
      </c>
      <c r="E386" s="4">
        <v>95.6966</v>
      </c>
      <c r="F386" s="10">
        <v>100</v>
      </c>
      <c r="G386" s="10">
        <v>206.188824597763</v>
      </c>
      <c r="H386" s="3">
        <v>48019</v>
      </c>
      <c r="I386" s="4">
        <v>95.69660000004056</v>
      </c>
      <c r="J386" s="11">
        <v>4.055777935718652e-11</v>
      </c>
      <c r="K386" s="11">
        <v>0.03465437897290258</v>
      </c>
      <c r="L386" s="2" t="s">
        <v>96</v>
      </c>
      <c r="M386" s="12">
        <v>0.4</v>
      </c>
      <c r="N386" s="2" t="s">
        <v>92</v>
      </c>
      <c r="O386" s="17" t="s">
        <v>93</v>
      </c>
      <c r="P386" s="10"/>
      <c r="Q386" s="12"/>
      <c r="R386" s="5" t="s">
        <v>12</v>
      </c>
    </row>
    <row r="387" spans="1:18" x14ac:dyDescent="0.25">
      <c r="A387" s="6" t="s">
        <v>36</v>
      </c>
      <c r="B387" s="7">
        <v>46261</v>
      </c>
      <c r="C387" s="6" t="s">
        <v>14</v>
      </c>
      <c r="D387" s="6" t="s">
        <v>16</v>
      </c>
      <c r="E387" s="8">
        <v>91.1439</v>
      </c>
      <c r="F387" s="14">
        <v>500</v>
      </c>
      <c r="G387" s="14">
        <v>768.0860749210395</v>
      </c>
      <c r="H387" s="7">
        <v>48019</v>
      </c>
      <c r="I387" s="8">
        <v>91.14390000000992</v>
      </c>
      <c r="J387" s="15">
        <v>9.919176591210999e-12</v>
      </c>
      <c r="K387" s="15">
        <v>0.1291159252491525</v>
      </c>
      <c r="L387" s="6" t="s">
        <v>96</v>
      </c>
      <c r="M387" s="16">
        <v>0.4</v>
      </c>
      <c r="N387" s="6" t="s">
        <v>92</v>
      </c>
      <c r="O387" s="17" t="s">
        <v>93</v>
      </c>
      <c r="P387" s="14"/>
      <c r="Q387" s="16"/>
      <c r="R387" s="9" t="s">
        <v>12</v>
      </c>
    </row>
    <row r="388" spans="1:18" x14ac:dyDescent="0.25">
      <c r="A388" s="2" t="s">
        <v>36</v>
      </c>
      <c r="B388" s="3">
        <v>46261</v>
      </c>
      <c r="C388" s="2" t="s">
        <v>17</v>
      </c>
      <c r="D388" s="2" t="s">
        <v>19</v>
      </c>
      <c r="E388" s="4">
        <v>100.7547</v>
      </c>
      <c r="F388" s="10">
        <v>100</v>
      </c>
      <c r="G388" s="10">
        <v>82.23904292915736</v>
      </c>
      <c r="H388" s="3">
        <v>48019</v>
      </c>
      <c r="I388" s="4">
        <v>100.75470000003652</v>
      </c>
      <c r="J388" s="11">
        <v>3.652189661806915e-11</v>
      </c>
      <c r="K388" s="11">
        <v>0.013821637121225194</v>
      </c>
      <c r="L388" s="2" t="s">
        <v>96</v>
      </c>
      <c r="M388" s="12">
        <v>0.4</v>
      </c>
      <c r="N388" s="2" t="s">
        <v>92</v>
      </c>
      <c r="O388" s="17" t="s">
        <v>93</v>
      </c>
      <c r="P388" s="10"/>
      <c r="Q388" s="12"/>
      <c r="R388" s="5" t="s">
        <v>12</v>
      </c>
    </row>
    <row r="389" spans="1:18" x14ac:dyDescent="0.25">
      <c r="A389" s="6" t="s">
        <v>36</v>
      </c>
      <c r="B389" s="7">
        <v>46261</v>
      </c>
      <c r="C389" s="6" t="s">
        <v>20</v>
      </c>
      <c r="D389" s="6" t="s">
        <v>22</v>
      </c>
      <c r="E389" s="8">
        <v>101.4961</v>
      </c>
      <c r="F389" s="14">
        <v>100</v>
      </c>
      <c r="G389" s="14">
        <v>65.02430273961868</v>
      </c>
      <c r="H389" s="7">
        <v>48019</v>
      </c>
      <c r="I389" s="8">
        <v>101.49609999994436</v>
      </c>
      <c r="J389" s="15">
        <v>5.5635496210015845e-11</v>
      </c>
      <c r="K389" s="15">
        <v>0.01092837762456611</v>
      </c>
      <c r="L389" s="6" t="s">
        <v>96</v>
      </c>
      <c r="M389" s="16">
        <v>0.4</v>
      </c>
      <c r="N389" s="6" t="s">
        <v>92</v>
      </c>
      <c r="O389" s="17" t="s">
        <v>93</v>
      </c>
      <c r="P389" s="14"/>
      <c r="Q389" s="16"/>
      <c r="R389" s="9" t="s">
        <v>12</v>
      </c>
    </row>
    <row r="390" spans="1:18" x14ac:dyDescent="0.25">
      <c r="A390" s="2" t="s">
        <v>36</v>
      </c>
      <c r="B390" s="3">
        <v>46261</v>
      </c>
      <c r="C390" s="2" t="s">
        <v>23</v>
      </c>
      <c r="D390" s="2" t="s">
        <v>25</v>
      </c>
      <c r="E390" s="4">
        <v>101.7892</v>
      </c>
      <c r="F390" s="10">
        <v>100</v>
      </c>
      <c r="G390" s="10">
        <v>58.28116517873438</v>
      </c>
      <c r="H390" s="3">
        <v>48019</v>
      </c>
      <c r="I390" s="4">
        <v>101.78920000001139</v>
      </c>
      <c r="J390" s="11">
        <v>1.1397105481592007e-11</v>
      </c>
      <c r="K390" s="11">
        <v>0.009795072566305407</v>
      </c>
      <c r="L390" s="2" t="s">
        <v>96</v>
      </c>
      <c r="M390" s="12">
        <v>0.4</v>
      </c>
      <c r="N390" s="2" t="s">
        <v>92</v>
      </c>
      <c r="O390" s="17" t="s">
        <v>93</v>
      </c>
      <c r="P390" s="10"/>
      <c r="Q390" s="12"/>
      <c r="R390" s="5" t="s">
        <v>12</v>
      </c>
    </row>
    <row r="391" spans="1:18" x14ac:dyDescent="0.25">
      <c r="A391" s="6" t="s">
        <v>36</v>
      </c>
      <c r="B391" s="7">
        <v>46261</v>
      </c>
      <c r="C391" s="6" t="s">
        <v>26</v>
      </c>
      <c r="D391" s="6" t="s">
        <v>28</v>
      </c>
      <c r="E391" s="8">
        <v>102.3337</v>
      </c>
      <c r="F391" s="14">
        <v>100</v>
      </c>
      <c r="G391" s="14">
        <v>45.84642500685006</v>
      </c>
      <c r="H391" s="7">
        <v>48019</v>
      </c>
      <c r="I391" s="8">
        <v>102.33369999996185</v>
      </c>
      <c r="J391" s="15">
        <v>3.814193405560218e-11</v>
      </c>
      <c r="K391" s="15">
        <v>0.007705199635381632</v>
      </c>
      <c r="L391" s="6" t="s">
        <v>96</v>
      </c>
      <c r="M391" s="16">
        <v>0.4</v>
      </c>
      <c r="N391" s="6" t="s">
        <v>92</v>
      </c>
      <c r="O391" s="17" t="s">
        <v>93</v>
      </c>
      <c r="P391" s="14"/>
      <c r="Q391" s="16"/>
      <c r="R391" s="9" t="s">
        <v>12</v>
      </c>
    </row>
    <row r="392" spans="1:18" x14ac:dyDescent="0.25">
      <c r="A392" s="2" t="s">
        <v>36</v>
      </c>
      <c r="B392" s="3">
        <v>46261</v>
      </c>
      <c r="C392" s="2" t="s">
        <v>29</v>
      </c>
      <c r="D392" s="2" t="s">
        <v>31</v>
      </c>
      <c r="E392" s="4">
        <v>100.3185</v>
      </c>
      <c r="F392" s="10">
        <v>100</v>
      </c>
      <c r="G392" s="10">
        <v>92.47486513338038</v>
      </c>
      <c r="H392" s="3">
        <v>48019</v>
      </c>
      <c r="I392" s="4">
        <v>100.31850000000819</v>
      </c>
      <c r="J392" s="11">
        <v>8.185452315956354e-12</v>
      </c>
      <c r="K392" s="11">
        <v>0.015541968546415319</v>
      </c>
      <c r="L392" s="2" t="s">
        <v>96</v>
      </c>
      <c r="M392" s="12">
        <v>0.4</v>
      </c>
      <c r="N392" s="2" t="s">
        <v>92</v>
      </c>
      <c r="O392" s="17" t="s">
        <v>93</v>
      </c>
      <c r="P392" s="10"/>
      <c r="Q392" s="12"/>
      <c r="R392" s="5" t="s">
        <v>12</v>
      </c>
    </row>
    <row r="393" spans="1:18" x14ac:dyDescent="0.25">
      <c r="A393" s="6" t="s">
        <v>38</v>
      </c>
      <c r="B393" s="7">
        <v>46262</v>
      </c>
      <c r="C393" s="6" t="s">
        <v>9</v>
      </c>
      <c r="D393" s="6" t="s">
        <v>11</v>
      </c>
      <c r="E393" s="8">
        <v>95.7763</v>
      </c>
      <c r="F393" s="14">
        <v>100</v>
      </c>
      <c r="G393" s="14">
        <v>204.60780433759786</v>
      </c>
      <c r="H393" s="7">
        <v>48019</v>
      </c>
      <c r="I393" s="8">
        <v>95.77630000003946</v>
      </c>
      <c r="J393" s="15">
        <v>3.944933268940076e-11</v>
      </c>
      <c r="K393" s="15">
        <v>0.03438401067541008</v>
      </c>
      <c r="L393" s="6" t="s">
        <v>97</v>
      </c>
      <c r="M393" s="16">
        <v>0.4</v>
      </c>
      <c r="N393" s="6" t="s">
        <v>92</v>
      </c>
      <c r="O393" s="17" t="s">
        <v>93</v>
      </c>
      <c r="P393" s="14"/>
      <c r="Q393" s="16"/>
      <c r="R393" s="9" t="s">
        <v>12</v>
      </c>
    </row>
    <row r="394" spans="1:18" x14ac:dyDescent="0.25">
      <c r="A394" s="2" t="s">
        <v>38</v>
      </c>
      <c r="B394" s="3">
        <v>46262</v>
      </c>
      <c r="C394" s="2" t="s">
        <v>14</v>
      </c>
      <c r="D394" s="2" t="s">
        <v>16</v>
      </c>
      <c r="E394" s="4">
        <v>91.0569</v>
      </c>
      <c r="F394" s="10">
        <v>500</v>
      </c>
      <c r="G394" s="10">
        <v>772.1233513002674</v>
      </c>
      <c r="H394" s="3">
        <v>48019</v>
      </c>
      <c r="I394" s="4">
        <v>91.05690000002578</v>
      </c>
      <c r="J394" s="11">
        <v>2.5778490453376435e-11</v>
      </c>
      <c r="K394" s="11">
        <v>0.12977699808089938</v>
      </c>
      <c r="L394" s="2" t="s">
        <v>97</v>
      </c>
      <c r="M394" s="12">
        <v>0.4</v>
      </c>
      <c r="N394" s="2" t="s">
        <v>92</v>
      </c>
      <c r="O394" s="17" t="s">
        <v>93</v>
      </c>
      <c r="P394" s="10"/>
      <c r="Q394" s="12"/>
      <c r="R394" s="5" t="s">
        <v>12</v>
      </c>
    </row>
    <row r="395" spans="1:18" x14ac:dyDescent="0.25">
      <c r="A395" s="6" t="s">
        <v>38</v>
      </c>
      <c r="B395" s="7">
        <v>46262</v>
      </c>
      <c r="C395" s="6" t="s">
        <v>17</v>
      </c>
      <c r="D395" s="6" t="s">
        <v>19</v>
      </c>
      <c r="E395" s="8">
        <v>100.7623</v>
      </c>
      <c r="F395" s="14">
        <v>100</v>
      </c>
      <c r="G395" s="14">
        <v>81.98259593132684</v>
      </c>
      <c r="H395" s="7">
        <v>48019</v>
      </c>
      <c r="I395" s="8">
        <v>100.76230000002148</v>
      </c>
      <c r="J395" s="15">
        <v>2.148681232938543e-11</v>
      </c>
      <c r="K395" s="15">
        <v>0.013776688427640238</v>
      </c>
      <c r="L395" s="6" t="s">
        <v>97</v>
      </c>
      <c r="M395" s="16">
        <v>0.4</v>
      </c>
      <c r="N395" s="6" t="s">
        <v>92</v>
      </c>
      <c r="O395" s="17" t="s">
        <v>93</v>
      </c>
      <c r="P395" s="14"/>
      <c r="Q395" s="16"/>
      <c r="R395" s="9" t="s">
        <v>12</v>
      </c>
    </row>
    <row r="396" spans="1:18" x14ac:dyDescent="0.25">
      <c r="A396" s="2" t="s">
        <v>38</v>
      </c>
      <c r="B396" s="3">
        <v>46262</v>
      </c>
      <c r="C396" s="2" t="s">
        <v>20</v>
      </c>
      <c r="D396" s="2" t="s">
        <v>22</v>
      </c>
      <c r="E396" s="4">
        <v>101.498</v>
      </c>
      <c r="F396" s="10">
        <v>100</v>
      </c>
      <c r="G396" s="10">
        <v>64.82701577990112</v>
      </c>
      <c r="H396" s="3">
        <v>48019</v>
      </c>
      <c r="I396" s="4">
        <v>101.49800000000502</v>
      </c>
      <c r="J396" s="11">
        <v>5.016431714466307e-12</v>
      </c>
      <c r="K396" s="11">
        <v>0.010893759727537144</v>
      </c>
      <c r="L396" s="2" t="s">
        <v>97</v>
      </c>
      <c r="M396" s="12">
        <v>0.4</v>
      </c>
      <c r="N396" s="2" t="s">
        <v>92</v>
      </c>
      <c r="O396" s="17" t="s">
        <v>93</v>
      </c>
      <c r="P396" s="10"/>
      <c r="Q396" s="12"/>
      <c r="R396" s="5" t="s">
        <v>12</v>
      </c>
    </row>
    <row r="397" spans="1:18" x14ac:dyDescent="0.25">
      <c r="A397" s="6" t="s">
        <v>38</v>
      </c>
      <c r="B397" s="7">
        <v>46262</v>
      </c>
      <c r="C397" s="6" t="s">
        <v>23</v>
      </c>
      <c r="D397" s="6" t="s">
        <v>25</v>
      </c>
      <c r="E397" s="8">
        <v>101.7891</v>
      </c>
      <c r="F397" s="14">
        <v>100</v>
      </c>
      <c r="G397" s="14">
        <v>58.10083949597112</v>
      </c>
      <c r="H397" s="7">
        <v>48019</v>
      </c>
      <c r="I397" s="8">
        <v>101.78909999995393</v>
      </c>
      <c r="J397" s="15">
        <v>4.6071590986684896e-11</v>
      </c>
      <c r="K397" s="15">
        <v>0.00976345722762062</v>
      </c>
      <c r="L397" s="6" t="s">
        <v>97</v>
      </c>
      <c r="M397" s="16">
        <v>0.4</v>
      </c>
      <c r="N397" s="6" t="s">
        <v>92</v>
      </c>
      <c r="O397" s="17" t="s">
        <v>93</v>
      </c>
      <c r="P397" s="14"/>
      <c r="Q397" s="16"/>
      <c r="R397" s="9" t="s">
        <v>12</v>
      </c>
    </row>
    <row r="398" spans="1:18" x14ac:dyDescent="0.25">
      <c r="A398" s="2" t="s">
        <v>38</v>
      </c>
      <c r="B398" s="3">
        <v>46262</v>
      </c>
      <c r="C398" s="2" t="s">
        <v>26</v>
      </c>
      <c r="D398" s="2" t="s">
        <v>28</v>
      </c>
      <c r="E398" s="4">
        <v>102.3361</v>
      </c>
      <c r="F398" s="10">
        <v>100</v>
      </c>
      <c r="G398" s="10">
        <v>45.55503229867812</v>
      </c>
      <c r="H398" s="3">
        <v>48019</v>
      </c>
      <c r="I398" s="4">
        <v>102.3360999999528</v>
      </c>
      <c r="J398" s="11">
        <v>4.7208459363901056e-11</v>
      </c>
      <c r="K398" s="11">
        <v>0.007655200752481051</v>
      </c>
      <c r="L398" s="2" t="s">
        <v>97</v>
      </c>
      <c r="M398" s="12">
        <v>0.4</v>
      </c>
      <c r="N398" s="2" t="s">
        <v>92</v>
      </c>
      <c r="O398" s="17" t="s">
        <v>93</v>
      </c>
      <c r="P398" s="10"/>
      <c r="Q398" s="12"/>
      <c r="R398" s="5" t="s">
        <v>12</v>
      </c>
    </row>
    <row r="399" spans="1:18" x14ac:dyDescent="0.25">
      <c r="A399" s="6" t="s">
        <v>38</v>
      </c>
      <c r="B399" s="7">
        <v>46262</v>
      </c>
      <c r="C399" s="6" t="s">
        <v>29</v>
      </c>
      <c r="D399" s="6" t="s">
        <v>31</v>
      </c>
      <c r="E399" s="8">
        <v>100.3252</v>
      </c>
      <c r="F399" s="14">
        <v>100</v>
      </c>
      <c r="G399" s="14">
        <v>92.28322107586206</v>
      </c>
      <c r="H399" s="7">
        <v>48019</v>
      </c>
      <c r="I399" s="8">
        <v>100.32520000005229</v>
      </c>
      <c r="J399" s="15">
        <v>5.2295945351943374e-11</v>
      </c>
      <c r="K399" s="15">
        <v>0.015507678160986416</v>
      </c>
      <c r="L399" s="6" t="s">
        <v>97</v>
      </c>
      <c r="M399" s="16">
        <v>0.4</v>
      </c>
      <c r="N399" s="6" t="s">
        <v>92</v>
      </c>
      <c r="O399" s="17" t="s">
        <v>93</v>
      </c>
      <c r="P399" s="14"/>
      <c r="Q399" s="16"/>
      <c r="R399" s="9" t="s">
        <v>12</v>
      </c>
    </row>
    <row r="400" spans="1:18" x14ac:dyDescent="0.25">
      <c r="A400" s="2" t="s">
        <v>40</v>
      </c>
      <c r="B400" s="3">
        <v>46265</v>
      </c>
      <c r="C400" s="2" t="s">
        <v>9</v>
      </c>
      <c r="D400" s="2" t="s">
        <v>11</v>
      </c>
      <c r="E400" s="4">
        <v>95.7863</v>
      </c>
      <c r="F400" s="10">
        <v>100</v>
      </c>
      <c r="G400" s="10">
        <v>204.3725603696754</v>
      </c>
      <c r="H400" s="3">
        <v>48019</v>
      </c>
      <c r="I400" s="4">
        <v>95.78630000003596</v>
      </c>
      <c r="J400" s="11">
        <v>3.596767328417627e-11</v>
      </c>
      <c r="K400" s="11">
        <v>0.03434414677570885</v>
      </c>
      <c r="L400" s="2" t="s">
        <v>98</v>
      </c>
      <c r="M400" s="12">
        <v>0.4</v>
      </c>
      <c r="N400" s="2" t="s">
        <v>92</v>
      </c>
      <c r="O400" s="17" t="s">
        <v>93</v>
      </c>
      <c r="P400" s="10"/>
      <c r="Q400" s="12"/>
      <c r="R400" s="5" t="s">
        <v>12</v>
      </c>
    </row>
    <row r="401" spans="1:18" x14ac:dyDescent="0.25">
      <c r="A401" s="6" t="s">
        <v>40</v>
      </c>
      <c r="B401" s="7">
        <v>46265</v>
      </c>
      <c r="C401" s="6" t="s">
        <v>14</v>
      </c>
      <c r="D401" s="6" t="s">
        <v>16</v>
      </c>
      <c r="E401" s="8">
        <v>90.6729</v>
      </c>
      <c r="F401" s="14">
        <v>500</v>
      </c>
      <c r="G401" s="14">
        <v>785.1202103787772</v>
      </c>
      <c r="H401" s="7">
        <v>48019</v>
      </c>
      <c r="I401" s="8">
        <v>90.6728999999955</v>
      </c>
      <c r="J401" s="15">
        <v>4.504840944719035e-12</v>
      </c>
      <c r="K401" s="15">
        <v>0.13196119880262813</v>
      </c>
      <c r="L401" s="6" t="s">
        <v>98</v>
      </c>
      <c r="M401" s="16">
        <v>0.4</v>
      </c>
      <c r="N401" s="6" t="s">
        <v>92</v>
      </c>
      <c r="O401" s="17" t="s">
        <v>93</v>
      </c>
      <c r="P401" s="14"/>
      <c r="Q401" s="16"/>
      <c r="R401" s="9" t="s">
        <v>12</v>
      </c>
    </row>
    <row r="402" spans="1:18" x14ac:dyDescent="0.25">
      <c r="A402" s="2" t="s">
        <v>40</v>
      </c>
      <c r="B402" s="3">
        <v>46265</v>
      </c>
      <c r="C402" s="2" t="s">
        <v>17</v>
      </c>
      <c r="D402" s="2" t="s">
        <v>19</v>
      </c>
      <c r="E402" s="4">
        <v>100.7545</v>
      </c>
      <c r="F402" s="10">
        <v>100</v>
      </c>
      <c r="G402" s="10">
        <v>82.16155524536391</v>
      </c>
      <c r="H402" s="3">
        <v>48019</v>
      </c>
      <c r="I402" s="4">
        <v>100.75450000000272</v>
      </c>
      <c r="J402" s="11">
        <v>2.7284841053187847e-12</v>
      </c>
      <c r="K402" s="11">
        <v>0.013806622158369919</v>
      </c>
      <c r="L402" s="2" t="s">
        <v>98</v>
      </c>
      <c r="M402" s="12">
        <v>0.4</v>
      </c>
      <c r="N402" s="2" t="s">
        <v>92</v>
      </c>
      <c r="O402" s="17" t="s">
        <v>93</v>
      </c>
      <c r="P402" s="10"/>
      <c r="Q402" s="12"/>
      <c r="R402" s="5" t="s">
        <v>12</v>
      </c>
    </row>
    <row r="403" spans="1:18" x14ac:dyDescent="0.25">
      <c r="A403" s="6" t="s">
        <v>40</v>
      </c>
      <c r="B403" s="7">
        <v>46265</v>
      </c>
      <c r="C403" s="6" t="s">
        <v>20</v>
      </c>
      <c r="D403" s="6" t="s">
        <v>22</v>
      </c>
      <c r="E403" s="8">
        <v>101.4657</v>
      </c>
      <c r="F403" s="14">
        <v>100</v>
      </c>
      <c r="G403" s="14">
        <v>65.5674198570739</v>
      </c>
      <c r="H403" s="7">
        <v>48019</v>
      </c>
      <c r="I403" s="8">
        <v>101.46570000000987</v>
      </c>
      <c r="J403" s="15">
        <v>9.876544027065393e-12</v>
      </c>
      <c r="K403" s="15">
        <v>0.011018068996691</v>
      </c>
      <c r="L403" s="6" t="s">
        <v>98</v>
      </c>
      <c r="M403" s="16">
        <v>0.4</v>
      </c>
      <c r="N403" s="6" t="s">
        <v>92</v>
      </c>
      <c r="O403" s="17" t="s">
        <v>93</v>
      </c>
      <c r="P403" s="14"/>
      <c r="Q403" s="16"/>
      <c r="R403" s="9" t="s">
        <v>12</v>
      </c>
    </row>
    <row r="404" spans="1:18" x14ac:dyDescent="0.25">
      <c r="A404" s="2" t="s">
        <v>40</v>
      </c>
      <c r="B404" s="3">
        <v>46265</v>
      </c>
      <c r="C404" s="2" t="s">
        <v>23</v>
      </c>
      <c r="D404" s="2" t="s">
        <v>25</v>
      </c>
      <c r="E404" s="4">
        <v>101.7014</v>
      </c>
      <c r="F404" s="10">
        <v>100</v>
      </c>
      <c r="G404" s="10">
        <v>60.11421570069445</v>
      </c>
      <c r="H404" s="3">
        <v>48019</v>
      </c>
      <c r="I404" s="4">
        <v>101.70139999999907</v>
      </c>
      <c r="J404" s="11">
        <v>9.379164112033322e-13</v>
      </c>
      <c r="K404" s="11">
        <v>0.01010169212747769</v>
      </c>
      <c r="L404" s="2" t="s">
        <v>98</v>
      </c>
      <c r="M404" s="12">
        <v>0.4</v>
      </c>
      <c r="N404" s="2" t="s">
        <v>92</v>
      </c>
      <c r="O404" s="17" t="s">
        <v>93</v>
      </c>
      <c r="P404" s="10"/>
      <c r="Q404" s="12"/>
      <c r="R404" s="5" t="s">
        <v>12</v>
      </c>
    </row>
    <row r="405" spans="1:18" x14ac:dyDescent="0.25">
      <c r="A405" s="6" t="s">
        <v>40</v>
      </c>
      <c r="B405" s="7">
        <v>46265</v>
      </c>
      <c r="C405" s="6" t="s">
        <v>26</v>
      </c>
      <c r="D405" s="6" t="s">
        <v>28</v>
      </c>
      <c r="E405" s="8">
        <v>102.3201</v>
      </c>
      <c r="F405" s="14">
        <v>100</v>
      </c>
      <c r="G405" s="14">
        <v>45.90748605993371</v>
      </c>
      <c r="H405" s="7">
        <v>48019</v>
      </c>
      <c r="I405" s="8">
        <v>102.32009999996504</v>
      </c>
      <c r="J405" s="15">
        <v>3.495870259939693e-11</v>
      </c>
      <c r="K405" s="15">
        <v>0.007714349269747345</v>
      </c>
      <c r="L405" s="6" t="s">
        <v>98</v>
      </c>
      <c r="M405" s="16">
        <v>0.4</v>
      </c>
      <c r="N405" s="6" t="s">
        <v>92</v>
      </c>
      <c r="O405" s="17" t="s">
        <v>93</v>
      </c>
      <c r="P405" s="14"/>
      <c r="Q405" s="16"/>
      <c r="R405" s="9" t="s">
        <v>12</v>
      </c>
    </row>
    <row r="406" spans="1:18" x14ac:dyDescent="0.25">
      <c r="A406" s="2" t="s">
        <v>40</v>
      </c>
      <c r="B406" s="3">
        <v>46265</v>
      </c>
      <c r="C406" s="2" t="s">
        <v>29</v>
      </c>
      <c r="D406" s="2" t="s">
        <v>31</v>
      </c>
      <c r="E406" s="4">
        <v>100.2951</v>
      </c>
      <c r="F406" s="10">
        <v>100</v>
      </c>
      <c r="G406" s="10">
        <v>92.99394082582893</v>
      </c>
      <c r="H406" s="3">
        <v>48019</v>
      </c>
      <c r="I406" s="4">
        <v>100.29509999994337</v>
      </c>
      <c r="J406" s="11">
        <v>5.6630256040079985e-11</v>
      </c>
      <c r="K406" s="11">
        <v>0.015626955309073765</v>
      </c>
      <c r="L406" s="2" t="s">
        <v>98</v>
      </c>
      <c r="M406" s="12">
        <v>0.4</v>
      </c>
      <c r="N406" s="2" t="s">
        <v>92</v>
      </c>
      <c r="O406" s="17" t="s">
        <v>93</v>
      </c>
      <c r="P406" s="10"/>
      <c r="Q406" s="12"/>
      <c r="R406" s="5" t="s">
        <v>12</v>
      </c>
    </row>
    <row r="407" spans="1:18" x14ac:dyDescent="0.25">
      <c r="A407" s="6" t="s">
        <v>42</v>
      </c>
      <c r="B407" s="7">
        <v>46267</v>
      </c>
      <c r="C407" s="6" t="s">
        <v>9</v>
      </c>
      <c r="D407" s="6" t="s">
        <v>11</v>
      </c>
      <c r="E407" s="8">
        <v>95.5865</v>
      </c>
      <c r="F407" s="14">
        <v>100</v>
      </c>
      <c r="G407" s="14">
        <v>209.76313511860334</v>
      </c>
      <c r="H407" s="7">
        <v>48019</v>
      </c>
      <c r="I407" s="8">
        <v>95.58649999999653</v>
      </c>
      <c r="J407" s="15">
        <v>3.467448550509289e-12</v>
      </c>
      <c r="K407" s="15">
        <v>0.03524776447648037</v>
      </c>
      <c r="L407" s="6" t="s">
        <v>99</v>
      </c>
      <c r="M407" s="16">
        <v>0.4</v>
      </c>
      <c r="N407" s="6" t="s">
        <v>92</v>
      </c>
      <c r="O407" s="17" t="s">
        <v>93</v>
      </c>
      <c r="P407" s="14"/>
      <c r="Q407" s="16"/>
      <c r="R407" s="9" t="s">
        <v>12</v>
      </c>
    </row>
    <row r="408" spans="1:18" x14ac:dyDescent="0.25">
      <c r="A408" s="2" t="s">
        <v>42</v>
      </c>
      <c r="B408" s="3">
        <v>46267</v>
      </c>
      <c r="C408" s="2" t="s">
        <v>14</v>
      </c>
      <c r="D408" s="2" t="s">
        <v>16</v>
      </c>
      <c r="E408" s="4">
        <v>89.5483</v>
      </c>
      <c r="F408" s="10">
        <v>500</v>
      </c>
      <c r="G408" s="10">
        <v>824.4015925860327</v>
      </c>
      <c r="H408" s="3">
        <v>48019</v>
      </c>
      <c r="I408" s="4">
        <v>89.54829999998644</v>
      </c>
      <c r="J408" s="11">
        <v>1.3557155398302712e-11</v>
      </c>
      <c r="K408" s="11">
        <v>0.13855696793115158</v>
      </c>
      <c r="L408" s="2" t="s">
        <v>99</v>
      </c>
      <c r="M408" s="12">
        <v>0.4</v>
      </c>
      <c r="N408" s="2" t="s">
        <v>92</v>
      </c>
      <c r="O408" s="17" t="s">
        <v>93</v>
      </c>
      <c r="P408" s="10"/>
      <c r="Q408" s="12"/>
      <c r="R408" s="5" t="s">
        <v>12</v>
      </c>
    </row>
    <row r="409" spans="1:18" x14ac:dyDescent="0.25">
      <c r="A409" s="6" t="s">
        <v>42</v>
      </c>
      <c r="B409" s="7">
        <v>46267</v>
      </c>
      <c r="C409" s="6" t="s">
        <v>17</v>
      </c>
      <c r="D409" s="6" t="s">
        <v>19</v>
      </c>
      <c r="E409" s="8">
        <v>100.7169</v>
      </c>
      <c r="F409" s="14">
        <v>100</v>
      </c>
      <c r="G409" s="14">
        <v>83.00979710912543</v>
      </c>
      <c r="H409" s="7">
        <v>48019</v>
      </c>
      <c r="I409" s="8">
        <v>100.71689999999573</v>
      </c>
      <c r="J409" s="15">
        <v>4.263256414560601e-12</v>
      </c>
      <c r="K409" s="15">
        <v>0.013948252278339623</v>
      </c>
      <c r="L409" s="6" t="s">
        <v>99</v>
      </c>
      <c r="M409" s="16">
        <v>0.4</v>
      </c>
      <c r="N409" s="6" t="s">
        <v>92</v>
      </c>
      <c r="O409" s="17" t="s">
        <v>93</v>
      </c>
      <c r="P409" s="14"/>
      <c r="Q409" s="16"/>
      <c r="R409" s="9" t="s">
        <v>12</v>
      </c>
    </row>
    <row r="410" spans="1:18" x14ac:dyDescent="0.25">
      <c r="A410" s="2" t="s">
        <v>42</v>
      </c>
      <c r="B410" s="3">
        <v>46267</v>
      </c>
      <c r="C410" s="2" t="s">
        <v>20</v>
      </c>
      <c r="D410" s="2" t="s">
        <v>22</v>
      </c>
      <c r="E410" s="4">
        <v>101.4484</v>
      </c>
      <c r="F410" s="10">
        <v>100</v>
      </c>
      <c r="G410" s="10">
        <v>65.8984822534474</v>
      </c>
      <c r="H410" s="3">
        <v>48019</v>
      </c>
      <c r="I410" s="4">
        <v>101.44840000003454</v>
      </c>
      <c r="J410" s="11">
        <v>3.453237695794087e-11</v>
      </c>
      <c r="K410" s="11">
        <v>0.011072976941193247</v>
      </c>
      <c r="L410" s="2" t="s">
        <v>99</v>
      </c>
      <c r="M410" s="12">
        <v>0.4</v>
      </c>
      <c r="N410" s="2" t="s">
        <v>92</v>
      </c>
      <c r="O410" s="17" t="s">
        <v>93</v>
      </c>
      <c r="P410" s="10"/>
      <c r="Q410" s="12"/>
      <c r="R410" s="5" t="s">
        <v>12</v>
      </c>
    </row>
    <row r="411" spans="1:18" x14ac:dyDescent="0.25">
      <c r="A411" s="6" t="s">
        <v>42</v>
      </c>
      <c r="B411" s="7">
        <v>46267</v>
      </c>
      <c r="C411" s="6" t="s">
        <v>23</v>
      </c>
      <c r="D411" s="6" t="s">
        <v>25</v>
      </c>
      <c r="E411" s="8">
        <v>101.6898</v>
      </c>
      <c r="F411" s="14">
        <v>100</v>
      </c>
      <c r="G411" s="14">
        <v>60.30049810021958</v>
      </c>
      <c r="H411" s="7">
        <v>48019</v>
      </c>
      <c r="I411" s="8">
        <v>101.68979999993839</v>
      </c>
      <c r="J411" s="15">
        <v>6.161826604511589e-11</v>
      </c>
      <c r="K411" s="15">
        <v>0.010132332056116411</v>
      </c>
      <c r="L411" s="6" t="s">
        <v>99</v>
      </c>
      <c r="M411" s="16">
        <v>0.4</v>
      </c>
      <c r="N411" s="6" t="s">
        <v>92</v>
      </c>
      <c r="O411" s="17" t="s">
        <v>93</v>
      </c>
      <c r="P411" s="14"/>
      <c r="Q411" s="16"/>
      <c r="R411" s="9" t="s">
        <v>12</v>
      </c>
    </row>
    <row r="412" spans="1:18" x14ac:dyDescent="0.25">
      <c r="A412" s="2" t="s">
        <v>42</v>
      </c>
      <c r="B412" s="3">
        <v>46267</v>
      </c>
      <c r="C412" s="2" t="s">
        <v>26</v>
      </c>
      <c r="D412" s="2" t="s">
        <v>28</v>
      </c>
      <c r="E412" s="4">
        <v>102.3056</v>
      </c>
      <c r="F412" s="10">
        <v>100</v>
      </c>
      <c r="G412" s="10">
        <v>46.128114323074</v>
      </c>
      <c r="H412" s="3">
        <v>48019</v>
      </c>
      <c r="I412" s="4">
        <v>102.30559999995283</v>
      </c>
      <c r="J412" s="11">
        <v>4.716582679975545e-11</v>
      </c>
      <c r="K412" s="11">
        <v>0.007750916296629384</v>
      </c>
      <c r="L412" s="2" t="s">
        <v>99</v>
      </c>
      <c r="M412" s="12">
        <v>0.4</v>
      </c>
      <c r="N412" s="2" t="s">
        <v>92</v>
      </c>
      <c r="O412" s="17" t="s">
        <v>93</v>
      </c>
      <c r="P412" s="10"/>
      <c r="Q412" s="12"/>
      <c r="R412" s="5" t="s">
        <v>12</v>
      </c>
    </row>
    <row r="413" spans="1:18" x14ac:dyDescent="0.25">
      <c r="A413" s="6" t="s">
        <v>42</v>
      </c>
      <c r="B413" s="7">
        <v>46267</v>
      </c>
      <c r="C413" s="6" t="s">
        <v>29</v>
      </c>
      <c r="D413" s="6" t="s">
        <v>31</v>
      </c>
      <c r="E413" s="8">
        <v>100.3351</v>
      </c>
      <c r="F413" s="14">
        <v>100</v>
      </c>
      <c r="G413" s="14">
        <v>92.03076426894833</v>
      </c>
      <c r="H413" s="7">
        <v>48019</v>
      </c>
      <c r="I413" s="8">
        <v>100.33509999997084</v>
      </c>
      <c r="J413" s="15">
        <v>2.916067387559451e-11</v>
      </c>
      <c r="K413" s="15">
        <v>0.015464085913947656</v>
      </c>
      <c r="L413" s="6" t="s">
        <v>99</v>
      </c>
      <c r="M413" s="16">
        <v>0.4</v>
      </c>
      <c r="N413" s="6" t="s">
        <v>92</v>
      </c>
      <c r="O413" s="17" t="s">
        <v>93</v>
      </c>
      <c r="P413" s="14"/>
      <c r="Q413" s="16"/>
      <c r="R413" s="9" t="s">
        <v>12</v>
      </c>
    </row>
    <row r="414" spans="1:18" x14ac:dyDescent="0.25">
      <c r="A414" s="2" t="s">
        <v>44</v>
      </c>
      <c r="B414" s="3">
        <v>46268</v>
      </c>
      <c r="C414" s="2" t="s">
        <v>9</v>
      </c>
      <c r="D414" s="2" t="s">
        <v>11</v>
      </c>
      <c r="E414" s="4">
        <v>95.7349</v>
      </c>
      <c r="F414" s="10">
        <v>100</v>
      </c>
      <c r="G414" s="10">
        <v>205.87460749072747</v>
      </c>
      <c r="H414" s="3">
        <v>48019</v>
      </c>
      <c r="I414" s="4">
        <v>95.73489999999985</v>
      </c>
      <c r="J414" s="11">
        <v>1.4210854715202004e-13</v>
      </c>
      <c r="K414" s="11">
        <v>0.034595484711701374</v>
      </c>
      <c r="L414" s="2" t="s">
        <v>100</v>
      </c>
      <c r="M414" s="12">
        <v>0.4</v>
      </c>
      <c r="N414" s="2" t="s">
        <v>92</v>
      </c>
      <c r="O414" s="17" t="s">
        <v>93</v>
      </c>
      <c r="P414" s="10"/>
      <c r="Q414" s="12"/>
      <c r="R414" s="5" t="s">
        <v>12</v>
      </c>
    </row>
    <row r="415" spans="1:18" x14ac:dyDescent="0.25">
      <c r="A415" s="6" t="s">
        <v>44</v>
      </c>
      <c r="B415" s="7">
        <v>46268</v>
      </c>
      <c r="C415" s="6" t="s">
        <v>14</v>
      </c>
      <c r="D415" s="6" t="s">
        <v>16</v>
      </c>
      <c r="E415" s="8">
        <v>89.997</v>
      </c>
      <c r="F415" s="14">
        <v>500</v>
      </c>
      <c r="G415" s="14">
        <v>808.6532203565505</v>
      </c>
      <c r="H415" s="7">
        <v>48019</v>
      </c>
      <c r="I415" s="8">
        <v>89.99699999996429</v>
      </c>
      <c r="J415" s="15">
        <v>3.5711877899302635e-11</v>
      </c>
      <c r="K415" s="15">
        <v>0.13591446653293815</v>
      </c>
      <c r="L415" s="6" t="s">
        <v>100</v>
      </c>
      <c r="M415" s="16">
        <v>0.4</v>
      </c>
      <c r="N415" s="6" t="s">
        <v>92</v>
      </c>
      <c r="O415" s="17" t="s">
        <v>93</v>
      </c>
      <c r="P415" s="14"/>
      <c r="Q415" s="16"/>
      <c r="R415" s="9" t="s">
        <v>12</v>
      </c>
    </row>
    <row r="416" spans="1:18" x14ac:dyDescent="0.25">
      <c r="A416" s="2" t="s">
        <v>44</v>
      </c>
      <c r="B416" s="3">
        <v>46268</v>
      </c>
      <c r="C416" s="2" t="s">
        <v>17</v>
      </c>
      <c r="D416" s="2" t="s">
        <v>19</v>
      </c>
      <c r="E416" s="4">
        <v>100.7894</v>
      </c>
      <c r="F416" s="10">
        <v>100</v>
      </c>
      <c r="G416" s="10">
        <v>81.31099894299759</v>
      </c>
      <c r="H416" s="3">
        <v>48019</v>
      </c>
      <c r="I416" s="4">
        <v>100.78939999993852</v>
      </c>
      <c r="J416" s="11">
        <v>6.147615749796387e-11</v>
      </c>
      <c r="K416" s="11">
        <v>0.013663242749828441</v>
      </c>
      <c r="L416" s="2" t="s">
        <v>100</v>
      </c>
      <c r="M416" s="12">
        <v>0.4</v>
      </c>
      <c r="N416" s="2" t="s">
        <v>92</v>
      </c>
      <c r="O416" s="17" t="s">
        <v>93</v>
      </c>
      <c r="P416" s="10"/>
      <c r="Q416" s="12"/>
      <c r="R416" s="5" t="s">
        <v>12</v>
      </c>
    </row>
    <row r="417" spans="1:18" x14ac:dyDescent="0.25">
      <c r="A417" s="6" t="s">
        <v>44</v>
      </c>
      <c r="B417" s="7">
        <v>46268</v>
      </c>
      <c r="C417" s="6" t="s">
        <v>20</v>
      </c>
      <c r="D417" s="6" t="s">
        <v>22</v>
      </c>
      <c r="E417" s="8">
        <v>101.5235</v>
      </c>
      <c r="F417" s="14">
        <v>100</v>
      </c>
      <c r="G417" s="14">
        <v>64.16795867478342</v>
      </c>
      <c r="H417" s="7">
        <v>48019</v>
      </c>
      <c r="I417" s="8">
        <v>101.52350000002069</v>
      </c>
      <c r="J417" s="15">
        <v>2.0691004465334117e-11</v>
      </c>
      <c r="K417" s="15">
        <v>0.010782542912863846</v>
      </c>
      <c r="L417" s="6" t="s">
        <v>100</v>
      </c>
      <c r="M417" s="16">
        <v>0.4</v>
      </c>
      <c r="N417" s="6" t="s">
        <v>92</v>
      </c>
      <c r="O417" s="17" t="s">
        <v>93</v>
      </c>
      <c r="P417" s="14"/>
      <c r="Q417" s="16"/>
      <c r="R417" s="9" t="s">
        <v>12</v>
      </c>
    </row>
    <row r="418" spans="1:18" x14ac:dyDescent="0.25">
      <c r="A418" s="2" t="s">
        <v>44</v>
      </c>
      <c r="B418" s="3">
        <v>46268</v>
      </c>
      <c r="C418" s="2" t="s">
        <v>23</v>
      </c>
      <c r="D418" s="2" t="s">
        <v>25</v>
      </c>
      <c r="E418" s="4">
        <v>101.7542</v>
      </c>
      <c r="F418" s="10">
        <v>100</v>
      </c>
      <c r="G418" s="10">
        <v>58.82669415653371</v>
      </c>
      <c r="H418" s="3">
        <v>48019</v>
      </c>
      <c r="I418" s="4">
        <v>101.75419999996971</v>
      </c>
      <c r="J418" s="11">
        <v>3.028333139809547e-11</v>
      </c>
      <c r="K418" s="11">
        <v>0.009885006295746734</v>
      </c>
      <c r="L418" s="2" t="s">
        <v>100</v>
      </c>
      <c r="M418" s="12">
        <v>0.4</v>
      </c>
      <c r="N418" s="2" t="s">
        <v>92</v>
      </c>
      <c r="O418" s="17" t="s">
        <v>93</v>
      </c>
      <c r="P418" s="10"/>
      <c r="Q418" s="12"/>
      <c r="R418" s="5" t="s">
        <v>12</v>
      </c>
    </row>
    <row r="419" spans="1:18" x14ac:dyDescent="0.25">
      <c r="A419" s="6" t="s">
        <v>44</v>
      </c>
      <c r="B419" s="7">
        <v>46268</v>
      </c>
      <c r="C419" s="6" t="s">
        <v>26</v>
      </c>
      <c r="D419" s="6" t="s">
        <v>28</v>
      </c>
      <c r="E419" s="8">
        <v>102.3556</v>
      </c>
      <c r="F419" s="14">
        <v>100</v>
      </c>
      <c r="G419" s="14">
        <v>45.004698800992536</v>
      </c>
      <c r="H419" s="7">
        <v>48019</v>
      </c>
      <c r="I419" s="8">
        <v>102.35560000005266</v>
      </c>
      <c r="J419" s="15">
        <v>5.2665427574538626e-11</v>
      </c>
      <c r="K419" s="15">
        <v>0.007562391920998834</v>
      </c>
      <c r="L419" s="6" t="s">
        <v>100</v>
      </c>
      <c r="M419" s="16">
        <v>0.4</v>
      </c>
      <c r="N419" s="6" t="s">
        <v>92</v>
      </c>
      <c r="O419" s="17" t="s">
        <v>93</v>
      </c>
      <c r="P419" s="14"/>
      <c r="Q419" s="16"/>
      <c r="R419" s="9" t="s">
        <v>12</v>
      </c>
    </row>
    <row r="420" spans="1:18" x14ac:dyDescent="0.25">
      <c r="A420" s="2" t="s">
        <v>44</v>
      </c>
      <c r="B420" s="3">
        <v>46268</v>
      </c>
      <c r="C420" s="2" t="s">
        <v>29</v>
      </c>
      <c r="D420" s="2" t="s">
        <v>31</v>
      </c>
      <c r="E420" s="4">
        <v>100.4024</v>
      </c>
      <c r="F420" s="10">
        <v>100</v>
      </c>
      <c r="G420" s="10">
        <v>90.43979877585194</v>
      </c>
      <c r="H420" s="3">
        <v>48019</v>
      </c>
      <c r="I420" s="4">
        <v>100.4023999999623</v>
      </c>
      <c r="J420" s="11">
        <v>3.7701397559430916e-11</v>
      </c>
      <c r="K420" s="11">
        <v>0.015197246152922617</v>
      </c>
      <c r="L420" s="2" t="s">
        <v>100</v>
      </c>
      <c r="M420" s="12">
        <v>0.4</v>
      </c>
      <c r="N420" s="2" t="s">
        <v>92</v>
      </c>
      <c r="O420" s="17" t="s">
        <v>93</v>
      </c>
      <c r="P420" s="10"/>
      <c r="Q420" s="12"/>
      <c r="R420" s="5" t="s">
        <v>12</v>
      </c>
    </row>
    <row r="421" spans="1:18" x14ac:dyDescent="0.25">
      <c r="A421" s="6" t="s">
        <v>46</v>
      </c>
      <c r="B421" s="7">
        <v>46269</v>
      </c>
      <c r="C421" s="6" t="s">
        <v>9</v>
      </c>
      <c r="D421" s="6" t="s">
        <v>11</v>
      </c>
      <c r="E421" s="8">
        <v>95.9002</v>
      </c>
      <c r="F421" s="14">
        <v>100</v>
      </c>
      <c r="G421" s="14">
        <v>201.85865970787032</v>
      </c>
      <c r="H421" s="7">
        <v>48019</v>
      </c>
      <c r="I421" s="8">
        <v>95.90019999995474</v>
      </c>
      <c r="J421" s="15">
        <v>4.526157226791838e-11</v>
      </c>
      <c r="K421" s="15">
        <v>0.03391928469824279</v>
      </c>
      <c r="L421" s="6" t="s">
        <v>101</v>
      </c>
      <c r="M421" s="16">
        <v>0.4</v>
      </c>
      <c r="N421" s="6" t="s">
        <v>92</v>
      </c>
      <c r="O421" s="17" t="s">
        <v>93</v>
      </c>
      <c r="P421" s="14"/>
      <c r="Q421" s="16"/>
      <c r="R421" s="9" t="s">
        <v>12</v>
      </c>
    </row>
    <row r="422" spans="1:18" x14ac:dyDescent="0.25">
      <c r="A422" s="2" t="s">
        <v>46</v>
      </c>
      <c r="B422" s="3">
        <v>46269</v>
      </c>
      <c r="C422" s="2" t="s">
        <v>14</v>
      </c>
      <c r="D422" s="2" t="s">
        <v>16</v>
      </c>
      <c r="E422" s="4">
        <v>90.1002</v>
      </c>
      <c r="F422" s="10">
        <v>500</v>
      </c>
      <c r="G422" s="10">
        <v>805.768110774567</v>
      </c>
      <c r="H422" s="3">
        <v>48019</v>
      </c>
      <c r="I422" s="4">
        <v>90.10020000000769</v>
      </c>
      <c r="J422" s="11">
        <v>7.688072400924284e-12</v>
      </c>
      <c r="K422" s="11">
        <v>0.13542361575019868</v>
      </c>
      <c r="L422" s="2" t="s">
        <v>101</v>
      </c>
      <c r="M422" s="12">
        <v>0.4</v>
      </c>
      <c r="N422" s="2" t="s">
        <v>92</v>
      </c>
      <c r="O422" s="17" t="s">
        <v>93</v>
      </c>
      <c r="P422" s="10"/>
      <c r="Q422" s="12"/>
      <c r="R422" s="5" t="s">
        <v>12</v>
      </c>
    </row>
    <row r="423" spans="1:18" x14ac:dyDescent="0.25">
      <c r="A423" s="6" t="s">
        <v>46</v>
      </c>
      <c r="B423" s="7">
        <v>46269</v>
      </c>
      <c r="C423" s="6" t="s">
        <v>17</v>
      </c>
      <c r="D423" s="6" t="s">
        <v>19</v>
      </c>
      <c r="E423" s="8">
        <v>100.8031</v>
      </c>
      <c r="F423" s="14">
        <v>100</v>
      </c>
      <c r="G423" s="14">
        <v>80.94251930469856</v>
      </c>
      <c r="H423" s="7">
        <v>48019</v>
      </c>
      <c r="I423" s="8">
        <v>100.80310000002173</v>
      </c>
      <c r="J423" s="15">
        <v>2.1728396859543864e-11</v>
      </c>
      <c r="K423" s="15">
        <v>0.013600804853979298</v>
      </c>
      <c r="L423" s="6" t="s">
        <v>101</v>
      </c>
      <c r="M423" s="16">
        <v>0.4</v>
      </c>
      <c r="N423" s="6" t="s">
        <v>92</v>
      </c>
      <c r="O423" s="17" t="s">
        <v>93</v>
      </c>
      <c r="P423" s="14"/>
      <c r="Q423" s="16"/>
      <c r="R423" s="9" t="s">
        <v>12</v>
      </c>
    </row>
    <row r="424" spans="1:18" x14ac:dyDescent="0.25">
      <c r="A424" s="2" t="s">
        <v>46</v>
      </c>
      <c r="B424" s="3">
        <v>46269</v>
      </c>
      <c r="C424" s="2" t="s">
        <v>20</v>
      </c>
      <c r="D424" s="2" t="s">
        <v>22</v>
      </c>
      <c r="E424" s="4">
        <v>101.5719</v>
      </c>
      <c r="F424" s="10">
        <v>100</v>
      </c>
      <c r="G424" s="10">
        <v>62.955350344271935</v>
      </c>
      <c r="H424" s="3">
        <v>48019</v>
      </c>
      <c r="I424" s="4">
        <v>101.57189999997591</v>
      </c>
      <c r="J424" s="11">
        <v>2.4087398742267396e-11</v>
      </c>
      <c r="K424" s="11">
        <v>0.010578376029286574</v>
      </c>
      <c r="L424" s="2" t="s">
        <v>101</v>
      </c>
      <c r="M424" s="12">
        <v>0.4</v>
      </c>
      <c r="N424" s="2" t="s">
        <v>92</v>
      </c>
      <c r="O424" s="17" t="s">
        <v>93</v>
      </c>
      <c r="P424" s="10"/>
      <c r="Q424" s="12"/>
      <c r="R424" s="5" t="s">
        <v>12</v>
      </c>
    </row>
    <row r="425" spans="1:18" x14ac:dyDescent="0.25">
      <c r="A425" s="6" t="s">
        <v>46</v>
      </c>
      <c r="B425" s="7">
        <v>46269</v>
      </c>
      <c r="C425" s="6" t="s">
        <v>23</v>
      </c>
      <c r="D425" s="6" t="s">
        <v>25</v>
      </c>
      <c r="E425" s="8">
        <v>101.7811</v>
      </c>
      <c r="F425" s="14">
        <v>100</v>
      </c>
      <c r="G425" s="14">
        <v>58.10331994667379</v>
      </c>
      <c r="H425" s="7">
        <v>48019</v>
      </c>
      <c r="I425" s="8">
        <v>101.78109999993872</v>
      </c>
      <c r="J425" s="15">
        <v>6.127720553195104e-11</v>
      </c>
      <c r="K425" s="15">
        <v>0.009763081092444281</v>
      </c>
      <c r="L425" s="6" t="s">
        <v>101</v>
      </c>
      <c r="M425" s="16">
        <v>0.4</v>
      </c>
      <c r="N425" s="6" t="s">
        <v>92</v>
      </c>
      <c r="O425" s="17" t="s">
        <v>93</v>
      </c>
      <c r="P425" s="14"/>
      <c r="Q425" s="16"/>
      <c r="R425" s="9" t="s">
        <v>12</v>
      </c>
    </row>
    <row r="426" spans="1:18" x14ac:dyDescent="0.25">
      <c r="A426" s="2" t="s">
        <v>46</v>
      </c>
      <c r="B426" s="3">
        <v>46269</v>
      </c>
      <c r="C426" s="2" t="s">
        <v>26</v>
      </c>
      <c r="D426" s="2" t="s">
        <v>28</v>
      </c>
      <c r="E426" s="4">
        <v>102.3674</v>
      </c>
      <c r="F426" s="10">
        <v>100</v>
      </c>
      <c r="G426" s="10">
        <v>44.60024146293813</v>
      </c>
      <c r="H426" s="3">
        <v>48019</v>
      </c>
      <c r="I426" s="4">
        <v>102.36739999999511</v>
      </c>
      <c r="J426" s="11">
        <v>4.888534022029489e-12</v>
      </c>
      <c r="K426" s="11">
        <v>0.007494144126098945</v>
      </c>
      <c r="L426" s="2" t="s">
        <v>101</v>
      </c>
      <c r="M426" s="12">
        <v>0.4</v>
      </c>
      <c r="N426" s="2" t="s">
        <v>92</v>
      </c>
      <c r="O426" s="17" t="s">
        <v>93</v>
      </c>
      <c r="P426" s="10"/>
      <c r="Q426" s="12"/>
      <c r="R426" s="5" t="s">
        <v>12</v>
      </c>
    </row>
    <row r="427" spans="1:18" x14ac:dyDescent="0.25">
      <c r="A427" s="6" t="s">
        <v>46</v>
      </c>
      <c r="B427" s="7">
        <v>46269</v>
      </c>
      <c r="C427" s="6" t="s">
        <v>29</v>
      </c>
      <c r="D427" s="6" t="s">
        <v>31</v>
      </c>
      <c r="E427" s="8">
        <v>100.4236</v>
      </c>
      <c r="F427" s="14">
        <v>100</v>
      </c>
      <c r="G427" s="14">
        <v>89.91344505459787</v>
      </c>
      <c r="H427" s="7">
        <v>48019</v>
      </c>
      <c r="I427" s="8">
        <v>100.42359999998543</v>
      </c>
      <c r="J427" s="15">
        <v>1.4566126083082054e-11</v>
      </c>
      <c r="K427" s="15">
        <v>0.01510822039648474</v>
      </c>
      <c r="L427" s="6" t="s">
        <v>101</v>
      </c>
      <c r="M427" s="16">
        <v>0.4</v>
      </c>
      <c r="N427" s="6" t="s">
        <v>92</v>
      </c>
      <c r="O427" s="17" t="s">
        <v>93</v>
      </c>
      <c r="P427" s="14"/>
      <c r="Q427" s="16"/>
      <c r="R427" s="9" t="s">
        <v>12</v>
      </c>
    </row>
    <row r="428" spans="1:18" x14ac:dyDescent="0.25">
      <c r="A428" s="2" t="s">
        <v>48</v>
      </c>
      <c r="B428" s="3">
        <v>46272</v>
      </c>
      <c r="C428" s="2" t="s">
        <v>9</v>
      </c>
      <c r="D428" s="2" t="s">
        <v>11</v>
      </c>
      <c r="E428" s="4">
        <v>95.9089</v>
      </c>
      <c r="F428" s="10">
        <v>100</v>
      </c>
      <c r="G428" s="10">
        <v>201.69691494153687</v>
      </c>
      <c r="H428" s="3">
        <v>48019</v>
      </c>
      <c r="I428" s="4">
        <v>95.9088999999959</v>
      </c>
      <c r="J428" s="11">
        <v>4.106937012693379e-12</v>
      </c>
      <c r="K428" s="11">
        <v>0.033892006308917644</v>
      </c>
      <c r="L428" s="2" t="s">
        <v>101</v>
      </c>
      <c r="M428" s="12">
        <v>0.4</v>
      </c>
      <c r="N428" s="2" t="s">
        <v>92</v>
      </c>
      <c r="O428" s="17" t="s">
        <v>93</v>
      </c>
      <c r="P428" s="10"/>
      <c r="Q428" s="12"/>
      <c r="R428" s="5" t="s">
        <v>12</v>
      </c>
    </row>
    <row r="429" spans="1:18" x14ac:dyDescent="0.25">
      <c r="A429" s="6" t="s">
        <v>48</v>
      </c>
      <c r="B429" s="7">
        <v>46272</v>
      </c>
      <c r="C429" s="6" t="s">
        <v>14</v>
      </c>
      <c r="D429" s="6" t="s">
        <v>16</v>
      </c>
      <c r="E429" s="8">
        <v>90.1177</v>
      </c>
      <c r="F429" s="14">
        <v>500</v>
      </c>
      <c r="G429" s="14">
        <v>805.3294397292314</v>
      </c>
      <c r="H429" s="7">
        <v>48019</v>
      </c>
      <c r="I429" s="8">
        <v>90.11770000000213</v>
      </c>
      <c r="J429" s="15">
        <v>2.1316282072803006e-12</v>
      </c>
      <c r="K429" s="15">
        <v>0.13534939788456768</v>
      </c>
      <c r="L429" s="6" t="s">
        <v>101</v>
      </c>
      <c r="M429" s="16">
        <v>0.4</v>
      </c>
      <c r="N429" s="6" t="s">
        <v>92</v>
      </c>
      <c r="O429" s="17" t="s">
        <v>93</v>
      </c>
      <c r="P429" s="14"/>
      <c r="Q429" s="16"/>
      <c r="R429" s="9" t="s">
        <v>12</v>
      </c>
    </row>
    <row r="430" spans="1:18" x14ac:dyDescent="0.25">
      <c r="A430" s="2" t="s">
        <v>48</v>
      </c>
      <c r="B430" s="3">
        <v>46272</v>
      </c>
      <c r="C430" s="2" t="s">
        <v>17</v>
      </c>
      <c r="D430" s="2" t="s">
        <v>19</v>
      </c>
      <c r="E430" s="4">
        <v>100.8013</v>
      </c>
      <c r="F430" s="10">
        <v>100</v>
      </c>
      <c r="G430" s="10">
        <v>80.9732005731751</v>
      </c>
      <c r="H430" s="3">
        <v>48019</v>
      </c>
      <c r="I430" s="4">
        <v>100.80129999996616</v>
      </c>
      <c r="J430" s="11">
        <v>3.383604507689597e-11</v>
      </c>
      <c r="K430" s="11">
        <v>0.013605922389672287</v>
      </c>
      <c r="L430" s="2" t="s">
        <v>101</v>
      </c>
      <c r="M430" s="12">
        <v>0.4</v>
      </c>
      <c r="N430" s="2" t="s">
        <v>92</v>
      </c>
      <c r="O430" s="17" t="s">
        <v>93</v>
      </c>
      <c r="P430" s="10"/>
      <c r="Q430" s="12"/>
      <c r="R430" s="5" t="s">
        <v>12</v>
      </c>
    </row>
    <row r="431" spans="1:18" x14ac:dyDescent="0.25">
      <c r="A431" s="6" t="s">
        <v>48</v>
      </c>
      <c r="B431" s="7">
        <v>46272</v>
      </c>
      <c r="C431" s="6" t="s">
        <v>20</v>
      </c>
      <c r="D431" s="6" t="s">
        <v>22</v>
      </c>
      <c r="E431" s="8">
        <v>101.5684</v>
      </c>
      <c r="F431" s="14">
        <v>100</v>
      </c>
      <c r="G431" s="14">
        <v>63.01390805695253</v>
      </c>
      <c r="H431" s="7">
        <v>48019</v>
      </c>
      <c r="I431" s="8">
        <v>101.56839999997341</v>
      </c>
      <c r="J431" s="15">
        <v>2.658850917214295e-11</v>
      </c>
      <c r="K431" s="15">
        <v>0.010588186250686249</v>
      </c>
      <c r="L431" s="6" t="s">
        <v>101</v>
      </c>
      <c r="M431" s="16">
        <v>0.4</v>
      </c>
      <c r="N431" s="6" t="s">
        <v>92</v>
      </c>
      <c r="O431" s="17" t="s">
        <v>93</v>
      </c>
      <c r="P431" s="14"/>
      <c r="Q431" s="16"/>
      <c r="R431" s="9" t="s">
        <v>12</v>
      </c>
    </row>
    <row r="432" spans="1:18" x14ac:dyDescent="0.25">
      <c r="A432" s="2" t="s">
        <v>48</v>
      </c>
      <c r="B432" s="3">
        <v>46272</v>
      </c>
      <c r="C432" s="2" t="s">
        <v>23</v>
      </c>
      <c r="D432" s="2" t="s">
        <v>25</v>
      </c>
      <c r="E432" s="4">
        <v>101.7771</v>
      </c>
      <c r="F432" s="10">
        <v>100</v>
      </c>
      <c r="G432" s="10">
        <v>58.17017561990648</v>
      </c>
      <c r="H432" s="3">
        <v>48019</v>
      </c>
      <c r="I432" s="4">
        <v>101.77709999999014</v>
      </c>
      <c r="J432" s="11">
        <v>9.86233317235019e-12</v>
      </c>
      <c r="K432" s="11">
        <v>0.009774287913728585</v>
      </c>
      <c r="L432" s="2" t="s">
        <v>101</v>
      </c>
      <c r="M432" s="12">
        <v>0.4</v>
      </c>
      <c r="N432" s="2" t="s">
        <v>92</v>
      </c>
      <c r="O432" s="17" t="s">
        <v>93</v>
      </c>
      <c r="P432" s="10"/>
      <c r="Q432" s="12"/>
      <c r="R432" s="5" t="s">
        <v>12</v>
      </c>
    </row>
    <row r="433" spans="1:18" x14ac:dyDescent="0.25">
      <c r="A433" s="6" t="s">
        <v>48</v>
      </c>
      <c r="B433" s="7">
        <v>46272</v>
      </c>
      <c r="C433" s="6" t="s">
        <v>26</v>
      </c>
      <c r="D433" s="6" t="s">
        <v>28</v>
      </c>
      <c r="E433" s="8">
        <v>102.3621</v>
      </c>
      <c r="F433" s="14">
        <v>100</v>
      </c>
      <c r="G433" s="14">
        <v>44.68765508800775</v>
      </c>
      <c r="H433" s="7">
        <v>48019</v>
      </c>
      <c r="I433" s="8">
        <v>102.36209999994628</v>
      </c>
      <c r="J433" s="15">
        <v>5.3717030823463574e-11</v>
      </c>
      <c r="K433" s="15">
        <v>0.007508811616219191</v>
      </c>
      <c r="L433" s="6" t="s">
        <v>101</v>
      </c>
      <c r="M433" s="16">
        <v>0.4</v>
      </c>
      <c r="N433" s="6" t="s">
        <v>92</v>
      </c>
      <c r="O433" s="17" t="s">
        <v>93</v>
      </c>
      <c r="P433" s="14"/>
      <c r="Q433" s="16"/>
      <c r="R433" s="9" t="s">
        <v>12</v>
      </c>
    </row>
    <row r="434" spans="1:18" x14ac:dyDescent="0.25">
      <c r="A434" s="2" t="s">
        <v>48</v>
      </c>
      <c r="B434" s="3">
        <v>46272</v>
      </c>
      <c r="C434" s="2" t="s">
        <v>29</v>
      </c>
      <c r="D434" s="2" t="s">
        <v>31</v>
      </c>
      <c r="E434" s="4">
        <v>100.4227</v>
      </c>
      <c r="F434" s="10">
        <v>100</v>
      </c>
      <c r="G434" s="10">
        <v>89.92858507807341</v>
      </c>
      <c r="H434" s="3">
        <v>48019</v>
      </c>
      <c r="I434" s="4">
        <v>100.4227000000588</v>
      </c>
      <c r="J434" s="11">
        <v>5.879030595679069e-11</v>
      </c>
      <c r="K434" s="11">
        <v>0.015110722174824787</v>
      </c>
      <c r="L434" s="2" t="s">
        <v>101</v>
      </c>
      <c r="M434" s="12">
        <v>0.4</v>
      </c>
      <c r="N434" s="2" t="s">
        <v>92</v>
      </c>
      <c r="O434" s="17" t="s">
        <v>93</v>
      </c>
      <c r="P434" s="10"/>
      <c r="Q434" s="12"/>
      <c r="R434" s="5" t="s">
        <v>12</v>
      </c>
    </row>
    <row r="435" spans="1:18" x14ac:dyDescent="0.25">
      <c r="A435" s="6" t="s">
        <v>50</v>
      </c>
      <c r="B435" s="7">
        <v>46273</v>
      </c>
      <c r="C435" s="6" t="s">
        <v>9</v>
      </c>
      <c r="D435" s="6" t="s">
        <v>11</v>
      </c>
      <c r="E435" s="8">
        <v>96.1294</v>
      </c>
      <c r="F435" s="14">
        <v>100</v>
      </c>
      <c r="G435" s="14">
        <v>196.04502084532132</v>
      </c>
      <c r="H435" s="7">
        <v>48019</v>
      </c>
      <c r="I435" s="8">
        <v>96.12939999999045</v>
      </c>
      <c r="J435" s="15">
        <v>9.549694368615746e-12</v>
      </c>
      <c r="K435" s="15">
        <v>0.03294124124153086</v>
      </c>
      <c r="L435" s="6" t="s">
        <v>102</v>
      </c>
      <c r="M435" s="16">
        <v>0.4</v>
      </c>
      <c r="N435" s="6" t="s">
        <v>92</v>
      </c>
      <c r="O435" s="17" t="s">
        <v>93</v>
      </c>
      <c r="P435" s="14"/>
      <c r="Q435" s="16"/>
      <c r="R435" s="9" t="s">
        <v>12</v>
      </c>
    </row>
    <row r="436" spans="1:18" x14ac:dyDescent="0.25">
      <c r="A436" s="2" t="s">
        <v>50</v>
      </c>
      <c r="B436" s="3">
        <v>46273</v>
      </c>
      <c r="C436" s="2" t="s">
        <v>14</v>
      </c>
      <c r="D436" s="2" t="s">
        <v>16</v>
      </c>
      <c r="E436" s="4">
        <v>91.0865</v>
      </c>
      <c r="F436" s="10">
        <v>500</v>
      </c>
      <c r="G436" s="10">
        <v>772.3386931536619</v>
      </c>
      <c r="H436" s="3">
        <v>48019</v>
      </c>
      <c r="I436" s="4">
        <v>91.08649999998114</v>
      </c>
      <c r="J436" s="11">
        <v>1.885780420707306e-11</v>
      </c>
      <c r="K436" s="11">
        <v>0.12979951586856942</v>
      </c>
      <c r="L436" s="2" t="s">
        <v>102</v>
      </c>
      <c r="M436" s="12">
        <v>0.4</v>
      </c>
      <c r="N436" s="2" t="s">
        <v>92</v>
      </c>
      <c r="O436" s="17" t="s">
        <v>93</v>
      </c>
      <c r="P436" s="10"/>
      <c r="Q436" s="12"/>
      <c r="R436" s="5" t="s">
        <v>12</v>
      </c>
    </row>
    <row r="437" spans="1:18" x14ac:dyDescent="0.25">
      <c r="A437" s="6" t="s">
        <v>50</v>
      </c>
      <c r="B437" s="7">
        <v>46273</v>
      </c>
      <c r="C437" s="6" t="s">
        <v>17</v>
      </c>
      <c r="D437" s="6" t="s">
        <v>19</v>
      </c>
      <c r="E437" s="8">
        <v>100.7921</v>
      </c>
      <c r="F437" s="14">
        <v>100</v>
      </c>
      <c r="G437" s="14">
        <v>81.1829871789674</v>
      </c>
      <c r="H437" s="7">
        <v>48019</v>
      </c>
      <c r="I437" s="8">
        <v>100.79210000000312</v>
      </c>
      <c r="J437" s="15">
        <v>3.112177182629239e-12</v>
      </c>
      <c r="K437" s="15">
        <v>0.013640743646021747</v>
      </c>
      <c r="L437" s="6" t="s">
        <v>102</v>
      </c>
      <c r="M437" s="16">
        <v>0.4</v>
      </c>
      <c r="N437" s="6" t="s">
        <v>92</v>
      </c>
      <c r="O437" s="17" t="s">
        <v>93</v>
      </c>
      <c r="P437" s="14"/>
      <c r="Q437" s="16"/>
      <c r="R437" s="9" t="s">
        <v>12</v>
      </c>
    </row>
    <row r="438" spans="1:18" x14ac:dyDescent="0.25">
      <c r="A438" s="2" t="s">
        <v>50</v>
      </c>
      <c r="B438" s="3">
        <v>46273</v>
      </c>
      <c r="C438" s="2" t="s">
        <v>20</v>
      </c>
      <c r="D438" s="2" t="s">
        <v>22</v>
      </c>
      <c r="E438" s="4">
        <v>101.558</v>
      </c>
      <c r="F438" s="10">
        <v>100</v>
      </c>
      <c r="G438" s="10">
        <v>63.24180193160861</v>
      </c>
      <c r="H438" s="3">
        <v>48019</v>
      </c>
      <c r="I438" s="4">
        <v>101.55799999997608</v>
      </c>
      <c r="J438" s="11">
        <v>2.3931079340400174e-11</v>
      </c>
      <c r="K438" s="11">
        <v>0.010626143345291439</v>
      </c>
      <c r="L438" s="2" t="s">
        <v>102</v>
      </c>
      <c r="M438" s="12">
        <v>0.4</v>
      </c>
      <c r="N438" s="2" t="s">
        <v>92</v>
      </c>
      <c r="O438" s="17" t="s">
        <v>93</v>
      </c>
      <c r="P438" s="10"/>
      <c r="Q438" s="12"/>
      <c r="R438" s="5" t="s">
        <v>12</v>
      </c>
    </row>
    <row r="439" spans="1:18" x14ac:dyDescent="0.25">
      <c r="A439" s="6" t="s">
        <v>50</v>
      </c>
      <c r="B439" s="7">
        <v>46273</v>
      </c>
      <c r="C439" s="6" t="s">
        <v>23</v>
      </c>
      <c r="D439" s="6" t="s">
        <v>25</v>
      </c>
      <c r="E439" s="8">
        <v>101.738</v>
      </c>
      <c r="F439" s="14">
        <v>100</v>
      </c>
      <c r="G439" s="14">
        <v>59.06073177785933</v>
      </c>
      <c r="H439" s="7">
        <v>48019</v>
      </c>
      <c r="I439" s="8">
        <v>101.7380000000045</v>
      </c>
      <c r="J439" s="15">
        <v>4.504840944719035e-12</v>
      </c>
      <c r="K439" s="15">
        <v>0.00992361472100356</v>
      </c>
      <c r="L439" s="6" t="s">
        <v>102</v>
      </c>
      <c r="M439" s="16">
        <v>0.4</v>
      </c>
      <c r="N439" s="6" t="s">
        <v>92</v>
      </c>
      <c r="O439" s="17" t="s">
        <v>93</v>
      </c>
      <c r="P439" s="14"/>
      <c r="Q439" s="16"/>
      <c r="R439" s="9" t="s">
        <v>12</v>
      </c>
    </row>
    <row r="440" spans="1:18" x14ac:dyDescent="0.25">
      <c r="A440" s="2" t="s">
        <v>50</v>
      </c>
      <c r="B440" s="3">
        <v>46273</v>
      </c>
      <c r="C440" s="2" t="s">
        <v>26</v>
      </c>
      <c r="D440" s="2" t="s">
        <v>28</v>
      </c>
      <c r="E440" s="4">
        <v>102.3596</v>
      </c>
      <c r="F440" s="10">
        <v>100</v>
      </c>
      <c r="G440" s="10">
        <v>44.723892324158975</v>
      </c>
      <c r="H440" s="3">
        <v>48019</v>
      </c>
      <c r="I440" s="4">
        <v>102.35960000004225</v>
      </c>
      <c r="J440" s="11">
        <v>4.224887106829556e-11</v>
      </c>
      <c r="K440" s="11">
        <v>0.007514661711240933</v>
      </c>
      <c r="L440" s="2" t="s">
        <v>102</v>
      </c>
      <c r="M440" s="12">
        <v>0.4</v>
      </c>
      <c r="N440" s="2" t="s">
        <v>92</v>
      </c>
      <c r="O440" s="17" t="s">
        <v>93</v>
      </c>
      <c r="P440" s="10"/>
      <c r="Q440" s="12"/>
      <c r="R440" s="5" t="s">
        <v>12</v>
      </c>
    </row>
    <row r="441" spans="1:18" x14ac:dyDescent="0.25">
      <c r="A441" s="6" t="s">
        <v>50</v>
      </c>
      <c r="B441" s="7">
        <v>46273</v>
      </c>
      <c r="C441" s="6" t="s">
        <v>29</v>
      </c>
      <c r="D441" s="6" t="s">
        <v>31</v>
      </c>
      <c r="E441" s="8">
        <v>100.4029</v>
      </c>
      <c r="F441" s="14">
        <v>100</v>
      </c>
      <c r="G441" s="14">
        <v>90.3950053389086</v>
      </c>
      <c r="H441" s="7">
        <v>48019</v>
      </c>
      <c r="I441" s="8">
        <v>100.40290000005837</v>
      </c>
      <c r="J441" s="15">
        <v>5.836398031533463e-11</v>
      </c>
      <c r="K441" s="15">
        <v>0.015188618871491144</v>
      </c>
      <c r="L441" s="6" t="s">
        <v>102</v>
      </c>
      <c r="M441" s="16">
        <v>0.4</v>
      </c>
      <c r="N441" s="6" t="s">
        <v>92</v>
      </c>
      <c r="O441" s="17" t="s">
        <v>93</v>
      </c>
      <c r="P441" s="14"/>
      <c r="Q441" s="16"/>
      <c r="R441" s="9" t="s">
        <v>12</v>
      </c>
    </row>
    <row r="442" spans="1:18" x14ac:dyDescent="0.25">
      <c r="A442" s="2" t="s">
        <v>52</v>
      </c>
      <c r="B442" s="3">
        <v>46274</v>
      </c>
      <c r="C442" s="2" t="s">
        <v>9</v>
      </c>
      <c r="D442" s="2" t="s">
        <v>11</v>
      </c>
      <c r="E442" s="4">
        <v>96.2192</v>
      </c>
      <c r="F442" s="10">
        <v>100</v>
      </c>
      <c r="G442" s="10">
        <v>193.87663903903118</v>
      </c>
      <c r="H442" s="3">
        <v>48019</v>
      </c>
      <c r="I442" s="4">
        <v>96.21920000000574</v>
      </c>
      <c r="J442" s="11">
        <v>5.7411853049416095e-12</v>
      </c>
      <c r="K442" s="11">
        <v>0.03257519728293801</v>
      </c>
      <c r="L442" s="2" t="s">
        <v>103</v>
      </c>
      <c r="M442" s="12">
        <v>0.4</v>
      </c>
      <c r="N442" s="2" t="s">
        <v>92</v>
      </c>
      <c r="O442" s="17" t="s">
        <v>93</v>
      </c>
      <c r="P442" s="10"/>
      <c r="Q442" s="12"/>
      <c r="R442" s="5" t="s">
        <v>12</v>
      </c>
    </row>
    <row r="443" spans="1:18" x14ac:dyDescent="0.25">
      <c r="A443" s="6" t="s">
        <v>52</v>
      </c>
      <c r="B443" s="7">
        <v>46274</v>
      </c>
      <c r="C443" s="6" t="s">
        <v>14</v>
      </c>
      <c r="D443" s="6" t="s">
        <v>16</v>
      </c>
      <c r="E443" s="8">
        <v>91.4282</v>
      </c>
      <c r="F443" s="14">
        <v>500</v>
      </c>
      <c r="G443" s="14">
        <v>761.219074848781</v>
      </c>
      <c r="H443" s="7">
        <v>48019</v>
      </c>
      <c r="I443" s="8">
        <v>91.4282000000081</v>
      </c>
      <c r="J443" s="15">
        <v>8.100187187665142e-12</v>
      </c>
      <c r="K443" s="15">
        <v>0.12792367073615196</v>
      </c>
      <c r="L443" s="6" t="s">
        <v>103</v>
      </c>
      <c r="M443" s="16">
        <v>0.4</v>
      </c>
      <c r="N443" s="6" t="s">
        <v>92</v>
      </c>
      <c r="O443" s="17" t="s">
        <v>93</v>
      </c>
      <c r="P443" s="14"/>
      <c r="Q443" s="16"/>
      <c r="R443" s="9" t="s">
        <v>12</v>
      </c>
    </row>
    <row r="444" spans="1:18" x14ac:dyDescent="0.25">
      <c r="A444" s="2" t="s">
        <v>52</v>
      </c>
      <c r="B444" s="3">
        <v>46274</v>
      </c>
      <c r="C444" s="2" t="s">
        <v>17</v>
      </c>
      <c r="D444" s="2" t="s">
        <v>19</v>
      </c>
      <c r="E444" s="4">
        <v>100.8687</v>
      </c>
      <c r="F444" s="10">
        <v>100</v>
      </c>
      <c r="G444" s="10">
        <v>79.34685871324167</v>
      </c>
      <c r="H444" s="3">
        <v>48019</v>
      </c>
      <c r="I444" s="4">
        <v>100.86870000001677</v>
      </c>
      <c r="J444" s="11">
        <v>1.6768808563938364e-11</v>
      </c>
      <c r="K444" s="11">
        <v>0.01333153674153209</v>
      </c>
      <c r="L444" s="2" t="s">
        <v>103</v>
      </c>
      <c r="M444" s="12">
        <v>0.4</v>
      </c>
      <c r="N444" s="2" t="s">
        <v>92</v>
      </c>
      <c r="O444" s="17" t="s">
        <v>93</v>
      </c>
      <c r="P444" s="10"/>
      <c r="Q444" s="12"/>
      <c r="R444" s="5" t="s">
        <v>12</v>
      </c>
    </row>
    <row r="445" spans="1:18" x14ac:dyDescent="0.25">
      <c r="A445" s="6" t="s">
        <v>52</v>
      </c>
      <c r="B445" s="7">
        <v>46274</v>
      </c>
      <c r="C445" s="6" t="s">
        <v>20</v>
      </c>
      <c r="D445" s="6" t="s">
        <v>22</v>
      </c>
      <c r="E445" s="8">
        <v>101.5843</v>
      </c>
      <c r="F445" s="14">
        <v>100</v>
      </c>
      <c r="G445" s="14">
        <v>62.5745924845392</v>
      </c>
      <c r="H445" s="7">
        <v>48019</v>
      </c>
      <c r="I445" s="8">
        <v>101.58429999994797</v>
      </c>
      <c r="J445" s="15">
        <v>5.2025939112354536e-11</v>
      </c>
      <c r="K445" s="15">
        <v>0.010513492811980996</v>
      </c>
      <c r="L445" s="6" t="s">
        <v>103</v>
      </c>
      <c r="M445" s="16">
        <v>0.4</v>
      </c>
      <c r="N445" s="6" t="s">
        <v>92</v>
      </c>
      <c r="O445" s="17" t="s">
        <v>93</v>
      </c>
      <c r="P445" s="14"/>
      <c r="Q445" s="16"/>
      <c r="R445" s="9" t="s">
        <v>12</v>
      </c>
    </row>
    <row r="446" spans="1:18" x14ac:dyDescent="0.25">
      <c r="A446" s="2" t="s">
        <v>52</v>
      </c>
      <c r="B446" s="3">
        <v>46274</v>
      </c>
      <c r="C446" s="2" t="s">
        <v>23</v>
      </c>
      <c r="D446" s="2" t="s">
        <v>25</v>
      </c>
      <c r="E446" s="4">
        <v>101.7159</v>
      </c>
      <c r="F446" s="10">
        <v>100</v>
      </c>
      <c r="G446" s="10">
        <v>59.51336564982311</v>
      </c>
      <c r="H446" s="3">
        <v>48019</v>
      </c>
      <c r="I446" s="4">
        <v>101.71589999997954</v>
      </c>
      <c r="J446" s="11">
        <v>2.0463630789890885e-11</v>
      </c>
      <c r="K446" s="11">
        <v>0.009999153531623506</v>
      </c>
      <c r="L446" s="2" t="s">
        <v>103</v>
      </c>
      <c r="M446" s="12">
        <v>0.4</v>
      </c>
      <c r="N446" s="2" t="s">
        <v>92</v>
      </c>
      <c r="O446" s="17" t="s">
        <v>93</v>
      </c>
      <c r="P446" s="10"/>
      <c r="Q446" s="12"/>
      <c r="R446" s="5" t="s">
        <v>12</v>
      </c>
    </row>
    <row r="447" spans="1:18" x14ac:dyDescent="0.25">
      <c r="A447" s="6" t="s">
        <v>52</v>
      </c>
      <c r="B447" s="7">
        <v>46274</v>
      </c>
      <c r="C447" s="6" t="s">
        <v>26</v>
      </c>
      <c r="D447" s="6" t="s">
        <v>28</v>
      </c>
      <c r="E447" s="8">
        <v>102.3883</v>
      </c>
      <c r="F447" s="14">
        <v>100</v>
      </c>
      <c r="G447" s="14">
        <v>43.982875595901604</v>
      </c>
      <c r="H447" s="7">
        <v>48019</v>
      </c>
      <c r="I447" s="8">
        <v>102.38830000004297</v>
      </c>
      <c r="J447" s="15">
        <v>4.297362465877086e-11</v>
      </c>
      <c r="K447" s="15">
        <v>0.007389771500072584</v>
      </c>
      <c r="L447" s="6" t="s">
        <v>103</v>
      </c>
      <c r="M447" s="16">
        <v>0.4</v>
      </c>
      <c r="N447" s="6" t="s">
        <v>92</v>
      </c>
      <c r="O447" s="17" t="s">
        <v>93</v>
      </c>
      <c r="P447" s="14"/>
      <c r="Q447" s="16"/>
      <c r="R447" s="9" t="s">
        <v>12</v>
      </c>
    </row>
    <row r="448" spans="1:18" x14ac:dyDescent="0.25">
      <c r="A448" s="2" t="s">
        <v>52</v>
      </c>
      <c r="B448" s="3">
        <v>46274</v>
      </c>
      <c r="C448" s="2" t="s">
        <v>29</v>
      </c>
      <c r="D448" s="2" t="s">
        <v>31</v>
      </c>
      <c r="E448" s="4">
        <v>100.5118</v>
      </c>
      <c r="F448" s="10">
        <v>100</v>
      </c>
      <c r="G448" s="10">
        <v>87.79275618213524</v>
      </c>
      <c r="H448" s="3">
        <v>48019</v>
      </c>
      <c r="I448" s="4">
        <v>100.51179999999466</v>
      </c>
      <c r="J448" s="11">
        <v>5.329070518200751e-12</v>
      </c>
      <c r="K448" s="11">
        <v>0.014750607952009887</v>
      </c>
      <c r="L448" s="2" t="s">
        <v>103</v>
      </c>
      <c r="M448" s="12">
        <v>0.4</v>
      </c>
      <c r="N448" s="2" t="s">
        <v>92</v>
      </c>
      <c r="O448" s="17" t="s">
        <v>93</v>
      </c>
      <c r="P448" s="10"/>
      <c r="Q448" s="12"/>
      <c r="R448" s="5" t="s">
        <v>12</v>
      </c>
    </row>
    <row r="449" spans="1:18" x14ac:dyDescent="0.25">
      <c r="A449" s="6" t="s">
        <v>54</v>
      </c>
      <c r="B449" s="7">
        <v>46275</v>
      </c>
      <c r="C449" s="6" t="s">
        <v>9</v>
      </c>
      <c r="D449" s="6" t="s">
        <v>11</v>
      </c>
      <c r="E449" s="8">
        <v>96.4762</v>
      </c>
      <c r="F449" s="14">
        <v>100</v>
      </c>
      <c r="G449" s="14">
        <v>187.60525737996275</v>
      </c>
      <c r="H449" s="7">
        <v>48019</v>
      </c>
      <c r="I449" s="8">
        <v>96.47619999996307</v>
      </c>
      <c r="J449" s="15">
        <v>3.693401140481001e-11</v>
      </c>
      <c r="K449" s="15">
        <v>0.03151588233407665</v>
      </c>
      <c r="L449" s="6" t="s">
        <v>104</v>
      </c>
      <c r="M449" s="16">
        <v>0.4</v>
      </c>
      <c r="N449" s="6" t="s">
        <v>92</v>
      </c>
      <c r="O449" s="17" t="s">
        <v>93</v>
      </c>
      <c r="P449" s="14"/>
      <c r="Q449" s="16"/>
      <c r="R449" s="9" t="s">
        <v>12</v>
      </c>
    </row>
    <row r="450" spans="1:18" x14ac:dyDescent="0.25">
      <c r="A450" s="2" t="s">
        <v>54</v>
      </c>
      <c r="B450" s="3">
        <v>46275</v>
      </c>
      <c r="C450" s="2" t="s">
        <v>14</v>
      </c>
      <c r="D450" s="2" t="s">
        <v>16</v>
      </c>
      <c r="E450" s="4">
        <v>91.161</v>
      </c>
      <c r="F450" s="10">
        <v>500</v>
      </c>
      <c r="G450" s="10">
        <v>771.1552814302004</v>
      </c>
      <c r="H450" s="3">
        <v>48019</v>
      </c>
      <c r="I450" s="4">
        <v>91.1610000000058</v>
      </c>
      <c r="J450" s="11">
        <v>5.7980287238024175e-12</v>
      </c>
      <c r="K450" s="11">
        <v>0.1295716739883801</v>
      </c>
      <c r="L450" s="2" t="s">
        <v>104</v>
      </c>
      <c r="M450" s="12">
        <v>0.4</v>
      </c>
      <c r="N450" s="2" t="s">
        <v>92</v>
      </c>
      <c r="O450" s="17" t="s">
        <v>93</v>
      </c>
      <c r="P450" s="10"/>
      <c r="Q450" s="12"/>
      <c r="R450" s="5" t="s">
        <v>12</v>
      </c>
    </row>
    <row r="451" spans="1:18" x14ac:dyDescent="0.25">
      <c r="A451" s="6" t="s">
        <v>54</v>
      </c>
      <c r="B451" s="7">
        <v>46275</v>
      </c>
      <c r="C451" s="6" t="s">
        <v>17</v>
      </c>
      <c r="D451" s="6" t="s">
        <v>19</v>
      </c>
      <c r="E451" s="8">
        <v>100.8619</v>
      </c>
      <c r="F451" s="14">
        <v>100</v>
      </c>
      <c r="G451" s="14">
        <v>79.43199368904651</v>
      </c>
      <c r="H451" s="7">
        <v>48019</v>
      </c>
      <c r="I451" s="8">
        <v>100.86190000005533</v>
      </c>
      <c r="J451" s="15">
        <v>5.53228574062814e-11</v>
      </c>
      <c r="K451" s="15">
        <v>0.013343482723655598</v>
      </c>
      <c r="L451" s="6" t="s">
        <v>104</v>
      </c>
      <c r="M451" s="16">
        <v>0.4</v>
      </c>
      <c r="N451" s="6" t="s">
        <v>92</v>
      </c>
      <c r="O451" s="17" t="s">
        <v>93</v>
      </c>
      <c r="P451" s="14"/>
      <c r="Q451" s="16"/>
      <c r="R451" s="9" t="s">
        <v>12</v>
      </c>
    </row>
    <row r="452" spans="1:18" x14ac:dyDescent="0.25">
      <c r="A452" s="2" t="s">
        <v>54</v>
      </c>
      <c r="B452" s="3">
        <v>46275</v>
      </c>
      <c r="C452" s="2" t="s">
        <v>20</v>
      </c>
      <c r="D452" s="2" t="s">
        <v>22</v>
      </c>
      <c r="E452" s="4">
        <v>101.5168</v>
      </c>
      <c r="F452" s="10">
        <v>100</v>
      </c>
      <c r="G452" s="10">
        <v>64.01618672098994</v>
      </c>
      <c r="H452" s="3">
        <v>48019</v>
      </c>
      <c r="I452" s="4">
        <v>101.51680000001787</v>
      </c>
      <c r="J452" s="11">
        <v>1.786304437700892e-11</v>
      </c>
      <c r="K452" s="11">
        <v>0.010753804293983649</v>
      </c>
      <c r="L452" s="2" t="s">
        <v>104</v>
      </c>
      <c r="M452" s="12">
        <v>0.4</v>
      </c>
      <c r="N452" s="2" t="s">
        <v>92</v>
      </c>
      <c r="O452" s="17" t="s">
        <v>93</v>
      </c>
      <c r="P452" s="10"/>
      <c r="Q452" s="12"/>
      <c r="R452" s="5" t="s">
        <v>12</v>
      </c>
    </row>
    <row r="453" spans="1:18" x14ac:dyDescent="0.25">
      <c r="A453" s="6" t="s">
        <v>54</v>
      </c>
      <c r="B453" s="7">
        <v>46275</v>
      </c>
      <c r="C453" s="6" t="s">
        <v>23</v>
      </c>
      <c r="D453" s="6" t="s">
        <v>25</v>
      </c>
      <c r="E453" s="8">
        <v>101.6181</v>
      </c>
      <c r="F453" s="14">
        <v>100</v>
      </c>
      <c r="G453" s="14">
        <v>61.64773954215281</v>
      </c>
      <c r="H453" s="7">
        <v>48019</v>
      </c>
      <c r="I453" s="8">
        <v>101.61809999995124</v>
      </c>
      <c r="J453" s="15">
        <v>4.8757442527858075e-11</v>
      </c>
      <c r="K453" s="15">
        <v>0.01035593393481804</v>
      </c>
      <c r="L453" s="6" t="s">
        <v>104</v>
      </c>
      <c r="M453" s="16">
        <v>0.4</v>
      </c>
      <c r="N453" s="6" t="s">
        <v>92</v>
      </c>
      <c r="O453" s="17" t="s">
        <v>93</v>
      </c>
      <c r="P453" s="14"/>
      <c r="Q453" s="16"/>
      <c r="R453" s="9" t="s">
        <v>12</v>
      </c>
    </row>
    <row r="454" spans="1:18" x14ac:dyDescent="0.25">
      <c r="A454" s="2" t="s">
        <v>54</v>
      </c>
      <c r="B454" s="3">
        <v>46275</v>
      </c>
      <c r="C454" s="2" t="s">
        <v>26</v>
      </c>
      <c r="D454" s="2" t="s">
        <v>28</v>
      </c>
      <c r="E454" s="4">
        <v>102.3717</v>
      </c>
      <c r="F454" s="10">
        <v>100</v>
      </c>
      <c r="G454" s="10">
        <v>44.16097461423796</v>
      </c>
      <c r="H454" s="3">
        <v>48019</v>
      </c>
      <c r="I454" s="4">
        <v>102.37170000003681</v>
      </c>
      <c r="J454" s="11">
        <v>3.680611371237319e-11</v>
      </c>
      <c r="K454" s="11">
        <v>0.007418382301977999</v>
      </c>
      <c r="L454" s="2" t="s">
        <v>104</v>
      </c>
      <c r="M454" s="12">
        <v>0.4</v>
      </c>
      <c r="N454" s="2" t="s">
        <v>92</v>
      </c>
      <c r="O454" s="17" t="s">
        <v>93</v>
      </c>
      <c r="P454" s="10"/>
      <c r="Q454" s="12"/>
      <c r="R454" s="5" t="s">
        <v>12</v>
      </c>
    </row>
    <row r="455" spans="1:18" x14ac:dyDescent="0.25">
      <c r="A455" s="6" t="s">
        <v>54</v>
      </c>
      <c r="B455" s="7">
        <v>46275</v>
      </c>
      <c r="C455" s="6" t="s">
        <v>29</v>
      </c>
      <c r="D455" s="6" t="s">
        <v>31</v>
      </c>
      <c r="E455" s="8">
        <v>100.5425</v>
      </c>
      <c r="F455" s="14">
        <v>100</v>
      </c>
      <c r="G455" s="14">
        <v>87.01652936509014</v>
      </c>
      <c r="H455" s="7">
        <v>48019</v>
      </c>
      <c r="I455" s="8">
        <v>100.54250000000093</v>
      </c>
      <c r="J455" s="15">
        <v>9.237055564881302e-13</v>
      </c>
      <c r="K455" s="15">
        <v>0.014617604099669279</v>
      </c>
      <c r="L455" s="6" t="s">
        <v>104</v>
      </c>
      <c r="M455" s="16">
        <v>0.4</v>
      </c>
      <c r="N455" s="6" t="s">
        <v>92</v>
      </c>
      <c r="O455" s="17" t="s">
        <v>93</v>
      </c>
      <c r="P455" s="14"/>
      <c r="Q455" s="16"/>
      <c r="R455" s="9" t="s">
        <v>12</v>
      </c>
    </row>
    <row r="456" spans="1:18" x14ac:dyDescent="0.25">
      <c r="A456" s="2" t="s">
        <v>56</v>
      </c>
      <c r="B456" s="3">
        <v>46276</v>
      </c>
      <c r="C456" s="2" t="s">
        <v>9</v>
      </c>
      <c r="D456" s="2" t="s">
        <v>11</v>
      </c>
      <c r="E456" s="4">
        <v>96.5128</v>
      </c>
      <c r="F456" s="10">
        <v>100</v>
      </c>
      <c r="G456" s="10">
        <v>186.92925832177772</v>
      </c>
      <c r="H456" s="3">
        <v>48019</v>
      </c>
      <c r="I456" s="4">
        <v>96.51279999999721</v>
      </c>
      <c r="J456" s="11">
        <v>2.7853275241795927e-12</v>
      </c>
      <c r="K456" s="11">
        <v>0.031400479507226464</v>
      </c>
      <c r="L456" s="2" t="s">
        <v>105</v>
      </c>
      <c r="M456" s="12">
        <v>0.4</v>
      </c>
      <c r="N456" s="2" t="s">
        <v>92</v>
      </c>
      <c r="O456" s="17" t="s">
        <v>93</v>
      </c>
      <c r="P456" s="10"/>
      <c r="Q456" s="12"/>
      <c r="R456" s="5" t="s">
        <v>12</v>
      </c>
    </row>
    <row r="457" spans="1:18" x14ac:dyDescent="0.25">
      <c r="A457" s="6" t="s">
        <v>56</v>
      </c>
      <c r="B457" s="7">
        <v>46276</v>
      </c>
      <c r="C457" s="6" t="s">
        <v>14</v>
      </c>
      <c r="D457" s="6" t="s">
        <v>16</v>
      </c>
      <c r="E457" s="8">
        <v>91.3783</v>
      </c>
      <c r="F457" s="14">
        <v>500</v>
      </c>
      <c r="G457" s="14">
        <v>764.5609662734221</v>
      </c>
      <c r="H457" s="7">
        <v>48019</v>
      </c>
      <c r="I457" s="8">
        <v>91.37829999999877</v>
      </c>
      <c r="J457" s="15">
        <v>1.2221335055073723e-12</v>
      </c>
      <c r="K457" s="15">
        <v>0.12845486128810535</v>
      </c>
      <c r="L457" s="6" t="s">
        <v>105</v>
      </c>
      <c r="M457" s="16">
        <v>0.4</v>
      </c>
      <c r="N457" s="6" t="s">
        <v>92</v>
      </c>
      <c r="O457" s="17" t="s">
        <v>93</v>
      </c>
      <c r="P457" s="14"/>
      <c r="Q457" s="16"/>
      <c r="R457" s="9" t="s">
        <v>12</v>
      </c>
    </row>
    <row r="458" spans="1:18" x14ac:dyDescent="0.25">
      <c r="A458" s="2" t="s">
        <v>56</v>
      </c>
      <c r="B458" s="3">
        <v>46276</v>
      </c>
      <c r="C458" s="2" t="s">
        <v>17</v>
      </c>
      <c r="D458" s="2" t="s">
        <v>19</v>
      </c>
      <c r="E458" s="4">
        <v>100.938</v>
      </c>
      <c r="F458" s="10">
        <v>100</v>
      </c>
      <c r="G458" s="10">
        <v>77.56402862671325</v>
      </c>
      <c r="H458" s="3">
        <v>48019</v>
      </c>
      <c r="I458" s="4">
        <v>100.93799999997115</v>
      </c>
      <c r="J458" s="11">
        <v>2.8848035071860068e-11</v>
      </c>
      <c r="K458" s="11">
        <v>0.013028942284165623</v>
      </c>
      <c r="L458" s="2" t="s">
        <v>105</v>
      </c>
      <c r="M458" s="12">
        <v>0.4</v>
      </c>
      <c r="N458" s="2" t="s">
        <v>92</v>
      </c>
      <c r="O458" s="17" t="s">
        <v>93</v>
      </c>
      <c r="P458" s="10"/>
      <c r="Q458" s="12"/>
      <c r="R458" s="5" t="s">
        <v>12</v>
      </c>
    </row>
    <row r="459" spans="1:18" x14ac:dyDescent="0.25">
      <c r="A459" s="6" t="s">
        <v>56</v>
      </c>
      <c r="B459" s="7">
        <v>46276</v>
      </c>
      <c r="C459" s="6" t="s">
        <v>20</v>
      </c>
      <c r="D459" s="6" t="s">
        <v>22</v>
      </c>
      <c r="E459" s="8">
        <v>101.5422</v>
      </c>
      <c r="F459" s="14">
        <v>100</v>
      </c>
      <c r="G459" s="14">
        <v>63.31203886648256</v>
      </c>
      <c r="H459" s="7">
        <v>48019</v>
      </c>
      <c r="I459" s="8">
        <v>101.54220000002796</v>
      </c>
      <c r="J459" s="15">
        <v>2.7966962079517543e-11</v>
      </c>
      <c r="K459" s="15">
        <v>0.010634911668887526</v>
      </c>
      <c r="L459" s="6" t="s">
        <v>105</v>
      </c>
      <c r="M459" s="16">
        <v>0.4</v>
      </c>
      <c r="N459" s="6" t="s">
        <v>92</v>
      </c>
      <c r="O459" s="17" t="s">
        <v>93</v>
      </c>
      <c r="P459" s="14"/>
      <c r="Q459" s="16"/>
      <c r="R459" s="9" t="s">
        <v>12</v>
      </c>
    </row>
    <row r="460" spans="1:18" x14ac:dyDescent="0.25">
      <c r="A460" s="2" t="s">
        <v>56</v>
      </c>
      <c r="B460" s="3">
        <v>46276</v>
      </c>
      <c r="C460" s="2" t="s">
        <v>23</v>
      </c>
      <c r="D460" s="2" t="s">
        <v>25</v>
      </c>
      <c r="E460" s="4">
        <v>101.6152</v>
      </c>
      <c r="F460" s="10">
        <v>100</v>
      </c>
      <c r="G460" s="10">
        <v>61.600501382236914</v>
      </c>
      <c r="H460" s="3">
        <v>48019</v>
      </c>
      <c r="I460" s="4">
        <v>101.61519999999578</v>
      </c>
      <c r="J460" s="11">
        <v>4.220623850414995e-12</v>
      </c>
      <c r="K460" s="11">
        <v>0.01034741078171919</v>
      </c>
      <c r="L460" s="2" t="s">
        <v>105</v>
      </c>
      <c r="M460" s="12">
        <v>0.4</v>
      </c>
      <c r="N460" s="2" t="s">
        <v>92</v>
      </c>
      <c r="O460" s="17" t="s">
        <v>93</v>
      </c>
      <c r="P460" s="10"/>
      <c r="Q460" s="12"/>
      <c r="R460" s="5" t="s">
        <v>12</v>
      </c>
    </row>
    <row r="461" spans="1:18" x14ac:dyDescent="0.25">
      <c r="A461" s="6" t="s">
        <v>56</v>
      </c>
      <c r="B461" s="7">
        <v>46276</v>
      </c>
      <c r="C461" s="6" t="s">
        <v>26</v>
      </c>
      <c r="D461" s="6" t="s">
        <v>28</v>
      </c>
      <c r="E461" s="8">
        <v>102.3597</v>
      </c>
      <c r="F461" s="14">
        <v>100</v>
      </c>
      <c r="G461" s="14">
        <v>44.271103359688034</v>
      </c>
      <c r="H461" s="7">
        <v>48019</v>
      </c>
      <c r="I461" s="8">
        <v>102.35970000005634</v>
      </c>
      <c r="J461" s="15">
        <v>5.633182809106074e-11</v>
      </c>
      <c r="K461" s="15">
        <v>0.007436461804957162</v>
      </c>
      <c r="L461" s="6" t="s">
        <v>105</v>
      </c>
      <c r="M461" s="16">
        <v>0.4</v>
      </c>
      <c r="N461" s="6" t="s">
        <v>92</v>
      </c>
      <c r="O461" s="17" t="s">
        <v>93</v>
      </c>
      <c r="P461" s="14"/>
      <c r="Q461" s="16"/>
      <c r="R461" s="9" t="s">
        <v>12</v>
      </c>
    </row>
    <row r="462" spans="1:18" x14ac:dyDescent="0.25">
      <c r="A462" s="2" t="s">
        <v>56</v>
      </c>
      <c r="B462" s="3">
        <v>46276</v>
      </c>
      <c r="C462" s="2" t="s">
        <v>29</v>
      </c>
      <c r="D462" s="2" t="s">
        <v>31</v>
      </c>
      <c r="E462" s="4">
        <v>100.6787</v>
      </c>
      <c r="F462" s="10">
        <v>100</v>
      </c>
      <c r="G462" s="10">
        <v>83.72808080653539</v>
      </c>
      <c r="H462" s="3">
        <v>48019</v>
      </c>
      <c r="I462" s="4">
        <v>100.67869999999984</v>
      </c>
      <c r="J462" s="11">
        <v>1.7053025658242404e-13</v>
      </c>
      <c r="K462" s="11">
        <v>0.014064376126157185</v>
      </c>
      <c r="L462" s="2" t="s">
        <v>105</v>
      </c>
      <c r="M462" s="12">
        <v>0.4</v>
      </c>
      <c r="N462" s="2" t="s">
        <v>92</v>
      </c>
      <c r="O462" s="17" t="s">
        <v>93</v>
      </c>
      <c r="P462" s="10"/>
      <c r="Q462" s="12"/>
      <c r="R462" s="5" t="s">
        <v>12</v>
      </c>
    </row>
    <row r="463" spans="1:18" x14ac:dyDescent="0.25">
      <c r="A463" s="6" t="s">
        <v>58</v>
      </c>
      <c r="B463" s="7">
        <v>46279</v>
      </c>
      <c r="C463" s="6" t="s">
        <v>9</v>
      </c>
      <c r="D463" s="6" t="s">
        <v>11</v>
      </c>
      <c r="E463" s="8">
        <v>96.2389</v>
      </c>
      <c r="F463" s="14">
        <v>100</v>
      </c>
      <c r="G463" s="14">
        <v>194.09355900573317</v>
      </c>
      <c r="H463" s="7">
        <v>48019</v>
      </c>
      <c r="I463" s="8">
        <v>96.23890000005304</v>
      </c>
      <c r="J463" s="15">
        <v>5.303490979713388e-11</v>
      </c>
      <c r="K463" s="15">
        <v>0.03260286338303331</v>
      </c>
      <c r="L463" s="6" t="s">
        <v>106</v>
      </c>
      <c r="M463" s="16">
        <v>0.4</v>
      </c>
      <c r="N463" s="6" t="s">
        <v>92</v>
      </c>
      <c r="O463" s="17" t="s">
        <v>93</v>
      </c>
      <c r="P463" s="14"/>
      <c r="Q463" s="16"/>
      <c r="R463" s="9" t="s">
        <v>12</v>
      </c>
    </row>
    <row r="464" spans="1:18" x14ac:dyDescent="0.25">
      <c r="A464" s="2" t="s">
        <v>58</v>
      </c>
      <c r="B464" s="3">
        <v>46279</v>
      </c>
      <c r="C464" s="2" t="s">
        <v>14</v>
      </c>
      <c r="D464" s="2" t="s">
        <v>16</v>
      </c>
      <c r="E464" s="4">
        <v>90.6268</v>
      </c>
      <c r="F464" s="10">
        <v>500</v>
      </c>
      <c r="G464" s="10">
        <v>790.4007879692155</v>
      </c>
      <c r="H464" s="3">
        <v>48019</v>
      </c>
      <c r="I464" s="4">
        <v>90.62680000000432</v>
      </c>
      <c r="J464" s="11">
        <v>4.320099833421409e-12</v>
      </c>
      <c r="K464" s="11">
        <v>0.13279269259527382</v>
      </c>
      <c r="L464" s="2" t="s">
        <v>106</v>
      </c>
      <c r="M464" s="12">
        <v>0.4</v>
      </c>
      <c r="N464" s="2" t="s">
        <v>92</v>
      </c>
      <c r="O464" s="17" t="s">
        <v>93</v>
      </c>
      <c r="P464" s="10"/>
      <c r="Q464" s="12"/>
      <c r="R464" s="5" t="s">
        <v>12</v>
      </c>
    </row>
    <row r="465" spans="1:18" x14ac:dyDescent="0.25">
      <c r="A465" s="6" t="s">
        <v>58</v>
      </c>
      <c r="B465" s="7">
        <v>46279</v>
      </c>
      <c r="C465" s="6" t="s">
        <v>17</v>
      </c>
      <c r="D465" s="6" t="s">
        <v>19</v>
      </c>
      <c r="E465" s="8">
        <v>100.896</v>
      </c>
      <c r="F465" s="14">
        <v>100</v>
      </c>
      <c r="G465" s="14">
        <v>78.54064286733833</v>
      </c>
      <c r="H465" s="7">
        <v>48019</v>
      </c>
      <c r="I465" s="8">
        <v>100.89600000002552</v>
      </c>
      <c r="J465" s="15">
        <v>2.55226950685028e-11</v>
      </c>
      <c r="K465" s="15">
        <v>0.013192541410660397</v>
      </c>
      <c r="L465" s="6" t="s">
        <v>106</v>
      </c>
      <c r="M465" s="16">
        <v>0.4</v>
      </c>
      <c r="N465" s="6" t="s">
        <v>92</v>
      </c>
      <c r="O465" s="17" t="s">
        <v>93</v>
      </c>
      <c r="P465" s="14"/>
      <c r="Q465" s="16"/>
      <c r="R465" s="9" t="s">
        <v>12</v>
      </c>
    </row>
    <row r="466" spans="1:18" x14ac:dyDescent="0.25">
      <c r="A466" s="2" t="s">
        <v>58</v>
      </c>
      <c r="B466" s="3">
        <v>46279</v>
      </c>
      <c r="C466" s="2" t="s">
        <v>20</v>
      </c>
      <c r="D466" s="2" t="s">
        <v>22</v>
      </c>
      <c r="E466" s="4">
        <v>101.4972</v>
      </c>
      <c r="F466" s="10">
        <v>100</v>
      </c>
      <c r="G466" s="10">
        <v>64.33524023982447</v>
      </c>
      <c r="H466" s="3">
        <v>48019</v>
      </c>
      <c r="I466" s="4">
        <v>101.49719999995726</v>
      </c>
      <c r="J466" s="11">
        <v>4.274625098332763e-11</v>
      </c>
      <c r="K466" s="11">
        <v>0.010806417868991502</v>
      </c>
      <c r="L466" s="2" t="s">
        <v>106</v>
      </c>
      <c r="M466" s="12">
        <v>0.4</v>
      </c>
      <c r="N466" s="2" t="s">
        <v>92</v>
      </c>
      <c r="O466" s="17" t="s">
        <v>93</v>
      </c>
      <c r="P466" s="10"/>
      <c r="Q466" s="12"/>
      <c r="R466" s="5" t="s">
        <v>12</v>
      </c>
    </row>
    <row r="467" spans="1:18" x14ac:dyDescent="0.25">
      <c r="A467" s="6" t="s">
        <v>58</v>
      </c>
      <c r="B467" s="7">
        <v>46279</v>
      </c>
      <c r="C467" s="6" t="s">
        <v>23</v>
      </c>
      <c r="D467" s="6" t="s">
        <v>25</v>
      </c>
      <c r="E467" s="8">
        <v>101.5618</v>
      </c>
      <c r="F467" s="14">
        <v>100</v>
      </c>
      <c r="G467" s="14">
        <v>62.81791832674156</v>
      </c>
      <c r="H467" s="7">
        <v>48019</v>
      </c>
      <c r="I467" s="8">
        <v>101.56179999999912</v>
      </c>
      <c r="J467" s="15">
        <v>8.810729923425242e-13</v>
      </c>
      <c r="K467" s="15">
        <v>0.010551549621311551</v>
      </c>
      <c r="L467" s="6" t="s">
        <v>106</v>
      </c>
      <c r="M467" s="16">
        <v>0.4</v>
      </c>
      <c r="N467" s="6" t="s">
        <v>92</v>
      </c>
      <c r="O467" s="17" t="s">
        <v>93</v>
      </c>
      <c r="P467" s="14"/>
      <c r="Q467" s="16"/>
      <c r="R467" s="9" t="s">
        <v>12</v>
      </c>
    </row>
    <row r="468" spans="1:18" x14ac:dyDescent="0.25">
      <c r="A468" s="2" t="s">
        <v>58</v>
      </c>
      <c r="B468" s="3">
        <v>46279</v>
      </c>
      <c r="C468" s="2" t="s">
        <v>26</v>
      </c>
      <c r="D468" s="2" t="s">
        <v>28</v>
      </c>
      <c r="E468" s="4">
        <v>102.3131</v>
      </c>
      <c r="F468" s="10">
        <v>100</v>
      </c>
      <c r="G468" s="10">
        <v>45.298605770977865</v>
      </c>
      <c r="H468" s="3">
        <v>48019</v>
      </c>
      <c r="I468" s="4">
        <v>102.31310000003029</v>
      </c>
      <c r="J468" s="11">
        <v>3.028333139809547e-11</v>
      </c>
      <c r="K468" s="11">
        <v>0.007608799134288802</v>
      </c>
      <c r="L468" s="2" t="s">
        <v>106</v>
      </c>
      <c r="M468" s="12">
        <v>0.4</v>
      </c>
      <c r="N468" s="2" t="s">
        <v>92</v>
      </c>
      <c r="O468" s="17" t="s">
        <v>93</v>
      </c>
      <c r="P468" s="10"/>
      <c r="Q468" s="12"/>
      <c r="R468" s="5" t="s">
        <v>12</v>
      </c>
    </row>
    <row r="469" spans="1:18" x14ac:dyDescent="0.25">
      <c r="A469" s="6" t="s">
        <v>58</v>
      </c>
      <c r="B469" s="7">
        <v>46279</v>
      </c>
      <c r="C469" s="6" t="s">
        <v>29</v>
      </c>
      <c r="D469" s="6" t="s">
        <v>31</v>
      </c>
      <c r="E469" s="8">
        <v>100.6107</v>
      </c>
      <c r="F469" s="14">
        <v>100</v>
      </c>
      <c r="G469" s="14">
        <v>85.33578861797068</v>
      </c>
      <c r="H469" s="7">
        <v>48019</v>
      </c>
      <c r="I469" s="8">
        <v>100.61069999996035</v>
      </c>
      <c r="J469" s="15">
        <v>3.964828465541359e-11</v>
      </c>
      <c r="K469" s="15">
        <v>0.014333947069928854</v>
      </c>
      <c r="L469" s="6" t="s">
        <v>106</v>
      </c>
      <c r="M469" s="16">
        <v>0.4</v>
      </c>
      <c r="N469" s="6" t="s">
        <v>92</v>
      </c>
      <c r="O469" s="17" t="s">
        <v>93</v>
      </c>
      <c r="P469" s="14"/>
      <c r="Q469" s="16"/>
      <c r="R469" s="9" t="s">
        <v>12</v>
      </c>
    </row>
    <row r="470" spans="1:18" x14ac:dyDescent="0.25">
      <c r="A470" s="2" t="s">
        <v>60</v>
      </c>
      <c r="B470" s="3">
        <v>46280</v>
      </c>
      <c r="C470" s="2" t="s">
        <v>9</v>
      </c>
      <c r="D470" s="2" t="s">
        <v>11</v>
      </c>
      <c r="E470" s="4">
        <v>96.2116</v>
      </c>
      <c r="F470" s="10">
        <v>100</v>
      </c>
      <c r="G470" s="10">
        <v>194.9086876395612</v>
      </c>
      <c r="H470" s="3">
        <v>48019</v>
      </c>
      <c r="I470" s="4">
        <v>96.21159999998221</v>
      </c>
      <c r="J470" s="11">
        <v>1.779199010343291e-11</v>
      </c>
      <c r="K470" s="11">
        <v>0.032738512203138725</v>
      </c>
      <c r="L470" s="2" t="s">
        <v>107</v>
      </c>
      <c r="M470" s="12">
        <v>0.4</v>
      </c>
      <c r="N470" s="2" t="s">
        <v>92</v>
      </c>
      <c r="O470" s="17" t="s">
        <v>93</v>
      </c>
      <c r="P470" s="10"/>
      <c r="Q470" s="12"/>
      <c r="R470" s="5" t="s">
        <v>12</v>
      </c>
    </row>
    <row r="471" spans="1:18" x14ac:dyDescent="0.25">
      <c r="A471" s="6" t="s">
        <v>60</v>
      </c>
      <c r="B471" s="7">
        <v>46280</v>
      </c>
      <c r="C471" s="6" t="s">
        <v>14</v>
      </c>
      <c r="D471" s="6" t="s">
        <v>16</v>
      </c>
      <c r="E471" s="8">
        <v>90.5223</v>
      </c>
      <c r="F471" s="14">
        <v>500</v>
      </c>
      <c r="G471" s="14">
        <v>794.2982719318811</v>
      </c>
      <c r="H471" s="7">
        <v>48019</v>
      </c>
      <c r="I471" s="8">
        <v>90.52229999996167</v>
      </c>
      <c r="J471" s="15">
        <v>3.8326675166899804e-11</v>
      </c>
      <c r="K471" s="15">
        <v>0.13344266951008876</v>
      </c>
      <c r="L471" s="6" t="s">
        <v>107</v>
      </c>
      <c r="M471" s="16">
        <v>0.4</v>
      </c>
      <c r="N471" s="6" t="s">
        <v>92</v>
      </c>
      <c r="O471" s="17" t="s">
        <v>93</v>
      </c>
      <c r="P471" s="14"/>
      <c r="Q471" s="16"/>
      <c r="R471" s="9" t="s">
        <v>12</v>
      </c>
    </row>
    <row r="472" spans="1:18" x14ac:dyDescent="0.25">
      <c r="A472" s="2" t="s">
        <v>60</v>
      </c>
      <c r="B472" s="3">
        <v>46280</v>
      </c>
      <c r="C472" s="2" t="s">
        <v>17</v>
      </c>
      <c r="D472" s="2" t="s">
        <v>19</v>
      </c>
      <c r="E472" s="4">
        <v>100.9423</v>
      </c>
      <c r="F472" s="10">
        <v>100</v>
      </c>
      <c r="G472" s="10">
        <v>77.41597490178192</v>
      </c>
      <c r="H472" s="3">
        <v>48019</v>
      </c>
      <c r="I472" s="4">
        <v>100.94229999999236</v>
      </c>
      <c r="J472" s="11">
        <v>7.645439836778678e-12</v>
      </c>
      <c r="K472" s="11">
        <v>0.013003116264371783</v>
      </c>
      <c r="L472" s="2" t="s">
        <v>107</v>
      </c>
      <c r="M472" s="12">
        <v>0.4</v>
      </c>
      <c r="N472" s="2" t="s">
        <v>92</v>
      </c>
      <c r="O472" s="17" t="s">
        <v>93</v>
      </c>
      <c r="P472" s="10"/>
      <c r="Q472" s="12"/>
      <c r="R472" s="5" t="s">
        <v>12</v>
      </c>
    </row>
    <row r="473" spans="1:18" x14ac:dyDescent="0.25">
      <c r="A473" s="6" t="s">
        <v>60</v>
      </c>
      <c r="B473" s="7">
        <v>46280</v>
      </c>
      <c r="C473" s="6" t="s">
        <v>20</v>
      </c>
      <c r="D473" s="6" t="s">
        <v>22</v>
      </c>
      <c r="E473" s="8">
        <v>101.4776</v>
      </c>
      <c r="F473" s="14">
        <v>100</v>
      </c>
      <c r="G473" s="14">
        <v>64.75664679538657</v>
      </c>
      <c r="H473" s="7">
        <v>48019</v>
      </c>
      <c r="I473" s="8">
        <v>101.47760000004524</v>
      </c>
      <c r="J473" s="15">
        <v>4.524736141320318e-11</v>
      </c>
      <c r="K473" s="15">
        <v>0.010876775009194262</v>
      </c>
      <c r="L473" s="6" t="s">
        <v>107</v>
      </c>
      <c r="M473" s="16">
        <v>0.4</v>
      </c>
      <c r="N473" s="6" t="s">
        <v>92</v>
      </c>
      <c r="O473" s="17" t="s">
        <v>93</v>
      </c>
      <c r="P473" s="14"/>
      <c r="Q473" s="16"/>
      <c r="R473" s="9" t="s">
        <v>12</v>
      </c>
    </row>
    <row r="474" spans="1:18" x14ac:dyDescent="0.25">
      <c r="A474" s="2" t="s">
        <v>60</v>
      </c>
      <c r="B474" s="3">
        <v>46280</v>
      </c>
      <c r="C474" s="2" t="s">
        <v>23</v>
      </c>
      <c r="D474" s="2" t="s">
        <v>25</v>
      </c>
      <c r="E474" s="4">
        <v>101.5553</v>
      </c>
      <c r="F474" s="10">
        <v>100</v>
      </c>
      <c r="G474" s="10">
        <v>62.929176267317125</v>
      </c>
      <c r="H474" s="3">
        <v>48019</v>
      </c>
      <c r="I474" s="4">
        <v>101.5552999999744</v>
      </c>
      <c r="J474" s="11">
        <v>2.560796019679401e-11</v>
      </c>
      <c r="K474" s="11">
        <v>0.010569822341324198</v>
      </c>
      <c r="L474" s="2" t="s">
        <v>107</v>
      </c>
      <c r="M474" s="12">
        <v>0.4</v>
      </c>
      <c r="N474" s="2" t="s">
        <v>92</v>
      </c>
      <c r="O474" s="17" t="s">
        <v>93</v>
      </c>
      <c r="P474" s="10"/>
      <c r="Q474" s="12"/>
      <c r="R474" s="5" t="s">
        <v>12</v>
      </c>
    </row>
    <row r="475" spans="1:18" x14ac:dyDescent="0.25">
      <c r="A475" s="6" t="s">
        <v>60</v>
      </c>
      <c r="B475" s="7">
        <v>46280</v>
      </c>
      <c r="C475" s="6" t="s">
        <v>26</v>
      </c>
      <c r="D475" s="6" t="s">
        <v>28</v>
      </c>
      <c r="E475" s="8">
        <v>102.311</v>
      </c>
      <c r="F475" s="14">
        <v>100</v>
      </c>
      <c r="G475" s="14">
        <v>45.286335893592984</v>
      </c>
      <c r="H475" s="7">
        <v>48019</v>
      </c>
      <c r="I475" s="8">
        <v>102.31099999996529</v>
      </c>
      <c r="J475" s="15">
        <v>3.4717118069238495e-11</v>
      </c>
      <c r="K475" s="15">
        <v>0.007606438847176378</v>
      </c>
      <c r="L475" s="6" t="s">
        <v>107</v>
      </c>
      <c r="M475" s="16">
        <v>0.4</v>
      </c>
      <c r="N475" s="6" t="s">
        <v>92</v>
      </c>
      <c r="O475" s="17" t="s">
        <v>93</v>
      </c>
      <c r="P475" s="14"/>
      <c r="Q475" s="16"/>
      <c r="R475" s="9" t="s">
        <v>12</v>
      </c>
    </row>
    <row r="476" spans="1:18" x14ac:dyDescent="0.25">
      <c r="A476" s="2" t="s">
        <v>60</v>
      </c>
      <c r="B476" s="3">
        <v>46280</v>
      </c>
      <c r="C476" s="2" t="s">
        <v>29</v>
      </c>
      <c r="D476" s="2" t="s">
        <v>31</v>
      </c>
      <c r="E476" s="4">
        <v>100.6216</v>
      </c>
      <c r="F476" s="10">
        <v>100</v>
      </c>
      <c r="G476" s="10">
        <v>85.05884155662102</v>
      </c>
      <c r="H476" s="3">
        <v>48019</v>
      </c>
      <c r="I476" s="4">
        <v>100.62159999996494</v>
      </c>
      <c r="J476" s="11">
        <v>3.505817858240334e-11</v>
      </c>
      <c r="K476" s="11">
        <v>0.014286866135364562</v>
      </c>
      <c r="L476" s="2" t="s">
        <v>107</v>
      </c>
      <c r="M476" s="12">
        <v>0.4</v>
      </c>
      <c r="N476" s="2" t="s">
        <v>92</v>
      </c>
      <c r="O476" s="17" t="s">
        <v>93</v>
      </c>
      <c r="P476" s="10"/>
      <c r="Q476" s="12"/>
      <c r="R476" s="5" t="s">
        <v>12</v>
      </c>
    </row>
    <row r="477" spans="1:18" x14ac:dyDescent="0.25">
      <c r="A477" s="6" t="s">
        <v>62</v>
      </c>
      <c r="B477" s="7">
        <v>46281</v>
      </c>
      <c r="C477" s="6" t="s">
        <v>9</v>
      </c>
      <c r="D477" s="6" t="s">
        <v>11</v>
      </c>
      <c r="E477" s="8">
        <v>96.3286</v>
      </c>
      <c r="F477" s="14">
        <v>100</v>
      </c>
      <c r="G477" s="14">
        <v>192.03628464526648</v>
      </c>
      <c r="H477" s="7">
        <v>48019</v>
      </c>
      <c r="I477" s="8">
        <v>96.32859999999724</v>
      </c>
      <c r="J477" s="15">
        <v>2.7569058147491887e-12</v>
      </c>
      <c r="K477" s="15">
        <v>0.032254390677621814</v>
      </c>
      <c r="L477" s="6" t="s">
        <v>108</v>
      </c>
      <c r="M477" s="16">
        <v>0.4</v>
      </c>
      <c r="N477" s="6" t="s">
        <v>92</v>
      </c>
      <c r="O477" s="17" t="s">
        <v>93</v>
      </c>
      <c r="P477" s="14"/>
      <c r="Q477" s="16"/>
      <c r="R477" s="9" t="s">
        <v>12</v>
      </c>
    </row>
    <row r="478" spans="1:18" x14ac:dyDescent="0.25">
      <c r="A478" s="2" t="s">
        <v>62</v>
      </c>
      <c r="B478" s="3">
        <v>46281</v>
      </c>
      <c r="C478" s="2" t="s">
        <v>14</v>
      </c>
      <c r="D478" s="2" t="s">
        <v>16</v>
      </c>
      <c r="E478" s="4">
        <v>90.857</v>
      </c>
      <c r="F478" s="10">
        <v>500</v>
      </c>
      <c r="G478" s="10">
        <v>783.263079650268</v>
      </c>
      <c r="H478" s="3">
        <v>48019</v>
      </c>
      <c r="I478" s="4">
        <v>90.85700000002728</v>
      </c>
      <c r="J478" s="11">
        <v>2.7284841053187847e-11</v>
      </c>
      <c r="K478" s="11">
        <v>0.13158078129293926</v>
      </c>
      <c r="L478" s="2" t="s">
        <v>108</v>
      </c>
      <c r="M478" s="12">
        <v>0.4</v>
      </c>
      <c r="N478" s="2" t="s">
        <v>92</v>
      </c>
      <c r="O478" s="17" t="s">
        <v>93</v>
      </c>
      <c r="P478" s="10"/>
      <c r="Q478" s="12"/>
      <c r="R478" s="5" t="s">
        <v>12</v>
      </c>
    </row>
    <row r="479" spans="1:18" x14ac:dyDescent="0.25">
      <c r="A479" s="6" t="s">
        <v>62</v>
      </c>
      <c r="B479" s="7">
        <v>46281</v>
      </c>
      <c r="C479" s="6" t="s">
        <v>17</v>
      </c>
      <c r="D479" s="6" t="s">
        <v>19</v>
      </c>
      <c r="E479" s="8">
        <v>100.9944</v>
      </c>
      <c r="F479" s="14">
        <v>100</v>
      </c>
      <c r="G479" s="14">
        <v>76.13709814005387</v>
      </c>
      <c r="H479" s="7">
        <v>48019</v>
      </c>
      <c r="I479" s="8">
        <v>100.99440000004587</v>
      </c>
      <c r="J479" s="15">
        <v>4.587263902067207e-11</v>
      </c>
      <c r="K479" s="15">
        <v>0.012787677349876958</v>
      </c>
      <c r="L479" s="6" t="s">
        <v>108</v>
      </c>
      <c r="M479" s="16">
        <v>0.4</v>
      </c>
      <c r="N479" s="6" t="s">
        <v>92</v>
      </c>
      <c r="O479" s="17" t="s">
        <v>93</v>
      </c>
      <c r="P479" s="14"/>
      <c r="Q479" s="16"/>
      <c r="R479" s="9" t="s">
        <v>12</v>
      </c>
    </row>
    <row r="480" spans="1:18" x14ac:dyDescent="0.25">
      <c r="A480" s="2" t="s">
        <v>62</v>
      </c>
      <c r="B480" s="3">
        <v>46281</v>
      </c>
      <c r="C480" s="2" t="s">
        <v>20</v>
      </c>
      <c r="D480" s="2" t="s">
        <v>22</v>
      </c>
      <c r="E480" s="4">
        <v>101.4881</v>
      </c>
      <c r="F480" s="10">
        <v>100</v>
      </c>
      <c r="G480" s="10">
        <v>64.44797772891336</v>
      </c>
      <c r="H480" s="3">
        <v>48019</v>
      </c>
      <c r="I480" s="4">
        <v>101.48810000000235</v>
      </c>
      <c r="J480" s="11">
        <v>2.3447910280083306e-12</v>
      </c>
      <c r="K480" s="11">
        <v>0.010824397018893706</v>
      </c>
      <c r="L480" s="2" t="s">
        <v>108</v>
      </c>
      <c r="M480" s="12">
        <v>0.4</v>
      </c>
      <c r="N480" s="2" t="s">
        <v>92</v>
      </c>
      <c r="O480" s="17" t="s">
        <v>93</v>
      </c>
      <c r="P480" s="10"/>
      <c r="Q480" s="12"/>
      <c r="R480" s="5" t="s">
        <v>12</v>
      </c>
    </row>
    <row r="481" spans="1:18" x14ac:dyDescent="0.25">
      <c r="A481" s="6" t="s">
        <v>62</v>
      </c>
      <c r="B481" s="7">
        <v>46281</v>
      </c>
      <c r="C481" s="6" t="s">
        <v>23</v>
      </c>
      <c r="D481" s="6" t="s">
        <v>25</v>
      </c>
      <c r="E481" s="8">
        <v>101.5411</v>
      </c>
      <c r="F481" s="14">
        <v>100</v>
      </c>
      <c r="G481" s="14">
        <v>63.19925132320157</v>
      </c>
      <c r="H481" s="7">
        <v>48019</v>
      </c>
      <c r="I481" s="8">
        <v>101.54109999999514</v>
      </c>
      <c r="J481" s="15">
        <v>4.860112312599085e-12</v>
      </c>
      <c r="K481" s="15">
        <v>0.010614664054742207</v>
      </c>
      <c r="L481" s="6" t="s">
        <v>108</v>
      </c>
      <c r="M481" s="16">
        <v>0.4</v>
      </c>
      <c r="N481" s="6" t="s">
        <v>92</v>
      </c>
      <c r="O481" s="17" t="s">
        <v>93</v>
      </c>
      <c r="P481" s="14"/>
      <c r="Q481" s="16"/>
      <c r="R481" s="9" t="s">
        <v>12</v>
      </c>
    </row>
    <row r="482" spans="1:18" x14ac:dyDescent="0.25">
      <c r="A482" s="2" t="s">
        <v>62</v>
      </c>
      <c r="B482" s="3">
        <v>46281</v>
      </c>
      <c r="C482" s="2" t="s">
        <v>26</v>
      </c>
      <c r="D482" s="2" t="s">
        <v>28</v>
      </c>
      <c r="E482" s="4">
        <v>102.3361</v>
      </c>
      <c r="F482" s="10">
        <v>100</v>
      </c>
      <c r="G482" s="10">
        <v>44.60879305382733</v>
      </c>
      <c r="H482" s="3">
        <v>48019</v>
      </c>
      <c r="I482" s="4">
        <v>102.33609999998343</v>
      </c>
      <c r="J482" s="11">
        <v>1.6569856597925536e-11</v>
      </c>
      <c r="K482" s="11">
        <v>0.007492268833573235</v>
      </c>
      <c r="L482" s="2" t="s">
        <v>108</v>
      </c>
      <c r="M482" s="12">
        <v>0.4</v>
      </c>
      <c r="N482" s="2" t="s">
        <v>92</v>
      </c>
      <c r="O482" s="17" t="s">
        <v>93</v>
      </c>
      <c r="P482" s="10"/>
      <c r="Q482" s="12"/>
      <c r="R482" s="5" t="s">
        <v>12</v>
      </c>
    </row>
    <row r="483" spans="1:18" x14ac:dyDescent="0.25">
      <c r="A483" s="6" t="s">
        <v>62</v>
      </c>
      <c r="B483" s="7">
        <v>46281</v>
      </c>
      <c r="C483" s="6" t="s">
        <v>29</v>
      </c>
      <c r="D483" s="6" t="s">
        <v>31</v>
      </c>
      <c r="E483" s="8">
        <v>100.6901</v>
      </c>
      <c r="F483" s="14">
        <v>100</v>
      </c>
      <c r="G483" s="14">
        <v>83.39378316195061</v>
      </c>
      <c r="H483" s="7">
        <v>48019</v>
      </c>
      <c r="I483" s="8">
        <v>100.69009999995811</v>
      </c>
      <c r="J483" s="15">
        <v>4.189359970041551e-11</v>
      </c>
      <c r="K483" s="15">
        <v>0.014006499584695575</v>
      </c>
      <c r="L483" s="6" t="s">
        <v>108</v>
      </c>
      <c r="M483" s="16">
        <v>0.4</v>
      </c>
      <c r="N483" s="6" t="s">
        <v>92</v>
      </c>
      <c r="O483" s="17" t="s">
        <v>93</v>
      </c>
      <c r="P483" s="14"/>
      <c r="Q483" s="16"/>
      <c r="R483" s="9" t="s">
        <v>12</v>
      </c>
    </row>
    <row r="484" spans="1:18" x14ac:dyDescent="0.25">
      <c r="A484" s="2" t="s">
        <v>64</v>
      </c>
      <c r="B484" s="3">
        <v>46282</v>
      </c>
      <c r="C484" s="2" t="s">
        <v>9</v>
      </c>
      <c r="D484" s="2" t="s">
        <v>11</v>
      </c>
      <c r="E484" s="4">
        <v>96.4361</v>
      </c>
      <c r="F484" s="10">
        <v>100</v>
      </c>
      <c r="G484" s="10">
        <v>189.14144627537718</v>
      </c>
      <c r="H484" s="3">
        <v>48019</v>
      </c>
      <c r="I484" s="4">
        <v>96.43609999996897</v>
      </c>
      <c r="J484" s="11">
        <v>3.1022295843285974e-11</v>
      </c>
      <c r="K484" s="11">
        <v>0.0317712365520606</v>
      </c>
      <c r="L484" s="2" t="s">
        <v>109</v>
      </c>
      <c r="M484" s="12">
        <v>0.4</v>
      </c>
      <c r="N484" s="2" t="s">
        <v>92</v>
      </c>
      <c r="O484" s="17" t="s">
        <v>93</v>
      </c>
      <c r="P484" s="10"/>
      <c r="Q484" s="12"/>
      <c r="R484" s="5" t="s">
        <v>12</v>
      </c>
    </row>
    <row r="485" spans="1:18" x14ac:dyDescent="0.25">
      <c r="A485" s="6" t="s">
        <v>64</v>
      </c>
      <c r="B485" s="7">
        <v>46282</v>
      </c>
      <c r="C485" s="6" t="s">
        <v>14</v>
      </c>
      <c r="D485" s="6" t="s">
        <v>16</v>
      </c>
      <c r="E485" s="8">
        <v>90.2084</v>
      </c>
      <c r="F485" s="14">
        <v>500</v>
      </c>
      <c r="G485" s="14">
        <v>805.3229583736187</v>
      </c>
      <c r="H485" s="7">
        <v>48019</v>
      </c>
      <c r="I485" s="8">
        <v>90.20840000000021</v>
      </c>
      <c r="J485" s="15">
        <v>2.1316282072803006e-13</v>
      </c>
      <c r="K485" s="15">
        <v>0.1353004091032517</v>
      </c>
      <c r="L485" s="6" t="s">
        <v>109</v>
      </c>
      <c r="M485" s="16">
        <v>0.4</v>
      </c>
      <c r="N485" s="6" t="s">
        <v>92</v>
      </c>
      <c r="O485" s="17" t="s">
        <v>93</v>
      </c>
      <c r="P485" s="14"/>
      <c r="Q485" s="16"/>
      <c r="R485" s="9" t="s">
        <v>12</v>
      </c>
    </row>
    <row r="486" spans="1:18" x14ac:dyDescent="0.25">
      <c r="A486" s="2" t="s">
        <v>64</v>
      </c>
      <c r="B486" s="3">
        <v>46282</v>
      </c>
      <c r="C486" s="2" t="s">
        <v>17</v>
      </c>
      <c r="D486" s="2" t="s">
        <v>19</v>
      </c>
      <c r="E486" s="4">
        <v>101.0884</v>
      </c>
      <c r="F486" s="10">
        <v>100</v>
      </c>
      <c r="G486" s="10">
        <v>73.93371747008626</v>
      </c>
      <c r="H486" s="3">
        <v>48019</v>
      </c>
      <c r="I486" s="4">
        <v>101.08840000000632</v>
      </c>
      <c r="J486" s="11">
        <v>6.323830348264892e-12</v>
      </c>
      <c r="K486" s="11">
        <v>0.012418815866226396</v>
      </c>
      <c r="L486" s="2" t="s">
        <v>109</v>
      </c>
      <c r="M486" s="12">
        <v>0.4</v>
      </c>
      <c r="N486" s="2" t="s">
        <v>92</v>
      </c>
      <c r="O486" s="17" t="s">
        <v>93</v>
      </c>
      <c r="P486" s="10"/>
      <c r="Q486" s="12"/>
      <c r="R486" s="5" t="s">
        <v>12</v>
      </c>
    </row>
    <row r="487" spans="1:18" x14ac:dyDescent="0.25">
      <c r="A487" s="6" t="s">
        <v>64</v>
      </c>
      <c r="B487" s="7">
        <v>46282</v>
      </c>
      <c r="C487" s="6" t="s">
        <v>20</v>
      </c>
      <c r="D487" s="6" t="s">
        <v>22</v>
      </c>
      <c r="E487" s="8">
        <v>101.5177</v>
      </c>
      <c r="F487" s="14">
        <v>100</v>
      </c>
      <c r="G487" s="14">
        <v>63.7922665180155</v>
      </c>
      <c r="H487" s="7">
        <v>48019</v>
      </c>
      <c r="I487" s="8">
        <v>101.51770000005205</v>
      </c>
      <c r="J487" s="15">
        <v>5.204014996706974e-11</v>
      </c>
      <c r="K487" s="15">
        <v>0.010715313952971428</v>
      </c>
      <c r="L487" s="6" t="s">
        <v>109</v>
      </c>
      <c r="M487" s="16">
        <v>0.4</v>
      </c>
      <c r="N487" s="6" t="s">
        <v>92</v>
      </c>
      <c r="O487" s="17" t="s">
        <v>93</v>
      </c>
      <c r="P487" s="14"/>
      <c r="Q487" s="16"/>
      <c r="R487" s="9" t="s">
        <v>12</v>
      </c>
    </row>
    <row r="488" spans="1:18" x14ac:dyDescent="0.25">
      <c r="A488" s="2" t="s">
        <v>64</v>
      </c>
      <c r="B488" s="3">
        <v>46282</v>
      </c>
      <c r="C488" s="2" t="s">
        <v>23</v>
      </c>
      <c r="D488" s="2" t="s">
        <v>25</v>
      </c>
      <c r="E488" s="4">
        <v>101.5562</v>
      </c>
      <c r="F488" s="10">
        <v>100</v>
      </c>
      <c r="G488" s="10">
        <v>62.88656954504858</v>
      </c>
      <c r="H488" s="3">
        <v>48019</v>
      </c>
      <c r="I488" s="4">
        <v>101.55619999994285</v>
      </c>
      <c r="J488" s="11">
        <v>5.715605766454246e-11</v>
      </c>
      <c r="K488" s="11">
        <v>0.010563180558449403</v>
      </c>
      <c r="L488" s="2" t="s">
        <v>109</v>
      </c>
      <c r="M488" s="12">
        <v>0.4</v>
      </c>
      <c r="N488" s="2" t="s">
        <v>92</v>
      </c>
      <c r="O488" s="17" t="s">
        <v>93</v>
      </c>
      <c r="P488" s="10"/>
      <c r="Q488" s="12"/>
      <c r="R488" s="5" t="s">
        <v>12</v>
      </c>
    </row>
    <row r="489" spans="1:18" x14ac:dyDescent="0.25">
      <c r="A489" s="6" t="s">
        <v>64</v>
      </c>
      <c r="B489" s="7">
        <v>46282</v>
      </c>
      <c r="C489" s="6" t="s">
        <v>26</v>
      </c>
      <c r="D489" s="6" t="s">
        <v>28</v>
      </c>
      <c r="E489" s="8">
        <v>102.3635</v>
      </c>
      <c r="F489" s="14">
        <v>100</v>
      </c>
      <c r="G489" s="14">
        <v>44.036994019252916</v>
      </c>
      <c r="H489" s="7">
        <v>48019</v>
      </c>
      <c r="I489" s="8">
        <v>102.36350000004575</v>
      </c>
      <c r="J489" s="15">
        <v>4.574474132823525e-11</v>
      </c>
      <c r="K489" s="15">
        <v>0.00739695639964566</v>
      </c>
      <c r="L489" s="6" t="s">
        <v>109</v>
      </c>
      <c r="M489" s="16">
        <v>0.4</v>
      </c>
      <c r="N489" s="6" t="s">
        <v>92</v>
      </c>
      <c r="O489" s="17" t="s">
        <v>93</v>
      </c>
      <c r="P489" s="14"/>
      <c r="Q489" s="16"/>
      <c r="R489" s="9" t="s">
        <v>12</v>
      </c>
    </row>
    <row r="490" spans="1:18" x14ac:dyDescent="0.25">
      <c r="A490" s="2" t="s">
        <v>64</v>
      </c>
      <c r="B490" s="3">
        <v>46282</v>
      </c>
      <c r="C490" s="2" t="s">
        <v>29</v>
      </c>
      <c r="D490" s="2" t="s">
        <v>31</v>
      </c>
      <c r="E490" s="4">
        <v>100.7494</v>
      </c>
      <c r="F490" s="10">
        <v>100</v>
      </c>
      <c r="G490" s="10">
        <v>81.99742948874241</v>
      </c>
      <c r="H490" s="3">
        <v>48019</v>
      </c>
      <c r="I490" s="4">
        <v>100.74939999996566</v>
      </c>
      <c r="J490" s="11">
        <v>3.433342499192804e-11</v>
      </c>
      <c r="K490" s="11">
        <v>0.013773315938294672</v>
      </c>
      <c r="L490" s="2" t="s">
        <v>109</v>
      </c>
      <c r="M490" s="12">
        <v>0.4</v>
      </c>
      <c r="N490" s="2" t="s">
        <v>92</v>
      </c>
      <c r="O490" s="17" t="s">
        <v>93</v>
      </c>
      <c r="P490" s="10"/>
      <c r="Q490" s="12"/>
      <c r="R490" s="5" t="s">
        <v>12</v>
      </c>
    </row>
    <row r="491" spans="1:18" x14ac:dyDescent="0.25">
      <c r="A491" s="6" t="s">
        <v>66</v>
      </c>
      <c r="B491" s="7">
        <v>46283</v>
      </c>
      <c r="C491" s="6" t="s">
        <v>9</v>
      </c>
      <c r="D491" s="6" t="s">
        <v>11</v>
      </c>
      <c r="E491" s="8">
        <v>96.3048</v>
      </c>
      <c r="F491" s="14">
        <v>100</v>
      </c>
      <c r="G491" s="14">
        <v>192.8784483092483</v>
      </c>
      <c r="H491" s="7">
        <v>48019</v>
      </c>
      <c r="I491" s="8">
        <v>96.30480000000927</v>
      </c>
      <c r="J491" s="15">
        <v>9.265477274311706e-12</v>
      </c>
      <c r="K491" s="15">
        <v>0.03239543785582555</v>
      </c>
      <c r="L491" s="6" t="s">
        <v>110</v>
      </c>
      <c r="M491" s="16">
        <v>0.4</v>
      </c>
      <c r="N491" s="6" t="s">
        <v>92</v>
      </c>
      <c r="O491" s="17" t="s">
        <v>93</v>
      </c>
      <c r="P491" s="14"/>
      <c r="Q491" s="16"/>
      <c r="R491" s="9" t="s">
        <v>12</v>
      </c>
    </row>
    <row r="492" spans="1:18" x14ac:dyDescent="0.25">
      <c r="A492" s="2" t="s">
        <v>66</v>
      </c>
      <c r="B492" s="3">
        <v>46283</v>
      </c>
      <c r="C492" s="2" t="s">
        <v>14</v>
      </c>
      <c r="D492" s="2" t="s">
        <v>16</v>
      </c>
      <c r="E492" s="4">
        <v>89.832</v>
      </c>
      <c r="F492" s="10">
        <v>500</v>
      </c>
      <c r="G492" s="10">
        <v>819.5464856519291</v>
      </c>
      <c r="H492" s="3">
        <v>48019</v>
      </c>
      <c r="I492" s="4">
        <v>89.83199999999799</v>
      </c>
      <c r="J492" s="11">
        <v>2.0037305148434825e-12</v>
      </c>
      <c r="K492" s="11">
        <v>0.13767581044476174</v>
      </c>
      <c r="L492" s="2" t="s">
        <v>110</v>
      </c>
      <c r="M492" s="12">
        <v>0.4</v>
      </c>
      <c r="N492" s="2" t="s">
        <v>92</v>
      </c>
      <c r="O492" s="17" t="s">
        <v>93</v>
      </c>
      <c r="P492" s="10"/>
      <c r="Q492" s="12"/>
      <c r="R492" s="5" t="s">
        <v>12</v>
      </c>
    </row>
    <row r="493" spans="1:18" x14ac:dyDescent="0.25">
      <c r="A493" s="6" t="s">
        <v>66</v>
      </c>
      <c r="B493" s="7">
        <v>46283</v>
      </c>
      <c r="C493" s="6" t="s">
        <v>17</v>
      </c>
      <c r="D493" s="6" t="s">
        <v>19</v>
      </c>
      <c r="E493" s="8">
        <v>101.0102</v>
      </c>
      <c r="F493" s="14">
        <v>100</v>
      </c>
      <c r="G493" s="14">
        <v>75.70296620122605</v>
      </c>
      <c r="H493" s="7">
        <v>48019</v>
      </c>
      <c r="I493" s="8">
        <v>101.01019999997789</v>
      </c>
      <c r="J493" s="15">
        <v>2.2112089936854318e-11</v>
      </c>
      <c r="K493" s="15">
        <v>0.012714610076329791</v>
      </c>
      <c r="L493" s="6" t="s">
        <v>110</v>
      </c>
      <c r="M493" s="16">
        <v>0.4</v>
      </c>
      <c r="N493" s="6" t="s">
        <v>92</v>
      </c>
      <c r="O493" s="17" t="s">
        <v>93</v>
      </c>
      <c r="P493" s="14"/>
      <c r="Q493" s="16"/>
      <c r="R493" s="9" t="s">
        <v>12</v>
      </c>
    </row>
    <row r="494" spans="1:18" x14ac:dyDescent="0.25">
      <c r="A494" s="2" t="s">
        <v>66</v>
      </c>
      <c r="B494" s="3">
        <v>46283</v>
      </c>
      <c r="C494" s="2" t="s">
        <v>20</v>
      </c>
      <c r="D494" s="2" t="s">
        <v>22</v>
      </c>
      <c r="E494" s="4">
        <v>101.4622</v>
      </c>
      <c r="F494" s="10">
        <v>100</v>
      </c>
      <c r="G494" s="10">
        <v>64.97442372824875</v>
      </c>
      <c r="H494" s="3">
        <v>48019</v>
      </c>
      <c r="I494" s="4">
        <v>101.46219999999704</v>
      </c>
      <c r="J494" s="11">
        <v>2.9558577807620168e-12</v>
      </c>
      <c r="K494" s="11">
        <v>0.010912688535142934</v>
      </c>
      <c r="L494" s="2" t="s">
        <v>110</v>
      </c>
      <c r="M494" s="12">
        <v>0.4</v>
      </c>
      <c r="N494" s="2" t="s">
        <v>92</v>
      </c>
      <c r="O494" s="17" t="s">
        <v>93</v>
      </c>
      <c r="P494" s="10"/>
      <c r="Q494" s="12"/>
      <c r="R494" s="5" t="s">
        <v>12</v>
      </c>
    </row>
    <row r="495" spans="1:18" x14ac:dyDescent="0.25">
      <c r="A495" s="6" t="s">
        <v>66</v>
      </c>
      <c r="B495" s="7">
        <v>46283</v>
      </c>
      <c r="C495" s="6" t="s">
        <v>23</v>
      </c>
      <c r="D495" s="6" t="s">
        <v>25</v>
      </c>
      <c r="E495" s="8">
        <v>101.5233</v>
      </c>
      <c r="F495" s="14">
        <v>100</v>
      </c>
      <c r="G495" s="14">
        <v>63.53082520115787</v>
      </c>
      <c r="H495" s="7">
        <v>48019</v>
      </c>
      <c r="I495" s="8">
        <v>101.52330000000478</v>
      </c>
      <c r="J495" s="15">
        <v>4.774847184307873e-12</v>
      </c>
      <c r="K495" s="15">
        <v>0.010670228259357373</v>
      </c>
      <c r="L495" s="6" t="s">
        <v>110</v>
      </c>
      <c r="M495" s="16">
        <v>0.4</v>
      </c>
      <c r="N495" s="6" t="s">
        <v>92</v>
      </c>
      <c r="O495" s="17" t="s">
        <v>93</v>
      </c>
      <c r="P495" s="14"/>
      <c r="Q495" s="16"/>
      <c r="R495" s="9" t="s">
        <v>12</v>
      </c>
    </row>
    <row r="496" spans="1:18" x14ac:dyDescent="0.25">
      <c r="A496" s="2" t="s">
        <v>66</v>
      </c>
      <c r="B496" s="3">
        <v>46283</v>
      </c>
      <c r="C496" s="2" t="s">
        <v>26</v>
      </c>
      <c r="D496" s="2" t="s">
        <v>28</v>
      </c>
      <c r="E496" s="4">
        <v>102.3357</v>
      </c>
      <c r="F496" s="10">
        <v>100</v>
      </c>
      <c r="G496" s="10">
        <v>44.484684906892916</v>
      </c>
      <c r="H496" s="3">
        <v>48019</v>
      </c>
      <c r="I496" s="4">
        <v>102.3356999999898</v>
      </c>
      <c r="J496" s="11">
        <v>1.0203393685515039e-11</v>
      </c>
      <c r="K496" s="11">
        <v>0.007471336665219042</v>
      </c>
      <c r="L496" s="2" t="s">
        <v>110</v>
      </c>
      <c r="M496" s="12">
        <v>0.4</v>
      </c>
      <c r="N496" s="2" t="s">
        <v>92</v>
      </c>
      <c r="O496" s="17" t="s">
        <v>93</v>
      </c>
      <c r="P496" s="10"/>
      <c r="Q496" s="12"/>
      <c r="R496" s="5" t="s">
        <v>12</v>
      </c>
    </row>
    <row r="497" spans="1:18" x14ac:dyDescent="0.25">
      <c r="A497" s="6" t="s">
        <v>66</v>
      </c>
      <c r="B497" s="7">
        <v>46283</v>
      </c>
      <c r="C497" s="6" t="s">
        <v>29</v>
      </c>
      <c r="D497" s="6" t="s">
        <v>31</v>
      </c>
      <c r="E497" s="8">
        <v>100.6302</v>
      </c>
      <c r="F497" s="14">
        <v>100</v>
      </c>
      <c r="G497" s="14">
        <v>84.79034901191798</v>
      </c>
      <c r="H497" s="7">
        <v>48019</v>
      </c>
      <c r="I497" s="8">
        <v>100.6302000000449</v>
      </c>
      <c r="J497" s="15">
        <v>4.489209004532313e-11</v>
      </c>
      <c r="K497" s="15">
        <v>0.014240894988404307</v>
      </c>
      <c r="L497" s="6" t="s">
        <v>110</v>
      </c>
      <c r="M497" s="16">
        <v>0.4</v>
      </c>
      <c r="N497" s="6" t="s">
        <v>92</v>
      </c>
      <c r="O497" s="17" t="s">
        <v>93</v>
      </c>
      <c r="P497" s="14"/>
      <c r="Q497" s="16"/>
      <c r="R497" s="9" t="s">
        <v>12</v>
      </c>
    </row>
  </sheetData>
  <autoFilter ref="A1:R1"/>
  <hyperlinks>
    <hyperlink ref="R365" r:id="rId1" tooltip="https://www.ice.com/cds-settlement-prices/icc/single-name-instruments"/>
    <hyperlink ref="R366" r:id="rId2" tooltip="https://www.ice.com/cds-settlement-prices/icc/single-name-instruments"/>
    <hyperlink ref="R367" r:id="rId3" tooltip="https://www.ice.com/cds-settlement-prices/icc/single-name-instruments"/>
    <hyperlink ref="R368" r:id="rId4" tooltip="https://www.ice.com/cds-settlement-prices/icc/single-name-instruments"/>
    <hyperlink ref="R369" r:id="rId5" tooltip="https://www.ice.com/cds-settlement-prices/icc/single-name-instruments"/>
    <hyperlink ref="R370" r:id="rId6" tooltip="https://www.ice.com/cds-settlement-prices/icc/single-name-instruments"/>
    <hyperlink ref="R371" r:id="rId7" tooltip="https://www.ice.com/cds-settlement-prices/icc/single-name-instruments"/>
    <hyperlink ref="R372" r:id="rId8" tooltip="https://www.ice.com/cds-settlement-prices/icc/single-name-instruments"/>
    <hyperlink ref="R373" r:id="rId9" tooltip="https://www.ice.com/cds-settlement-prices/icc/single-name-instruments"/>
    <hyperlink ref="R374" r:id="rId10" tooltip="https://www.ice.com/cds-settlement-prices/icc/single-name-instruments"/>
    <hyperlink ref="R375" r:id="rId11" tooltip="https://www.ice.com/cds-settlement-prices/icc/single-name-instruments"/>
    <hyperlink ref="R376" r:id="rId12" tooltip="https://www.ice.com/cds-settlement-prices/icc/single-name-instruments"/>
    <hyperlink ref="R377" r:id="rId13" tooltip="https://www.ice.com/cds-settlement-prices/icc/single-name-instruments"/>
    <hyperlink ref="R378" r:id="rId14" tooltip="https://www.ice.com/cds-settlement-prices/icc/single-name-instruments"/>
    <hyperlink ref="R379" r:id="rId15" tooltip="https://www.ice.com/cds-settlement-prices/icc/single-name-instruments"/>
    <hyperlink ref="R380" r:id="rId16" tooltip="https://www.ice.com/cds-settlement-prices/icc/single-name-instruments"/>
    <hyperlink ref="R381" r:id="rId17" tooltip="https://www.ice.com/cds-settlement-prices/icc/single-name-instruments"/>
    <hyperlink ref="R382" r:id="rId18" tooltip="https://www.ice.com/cds-settlement-prices/icc/single-name-instruments"/>
    <hyperlink ref="R383" r:id="rId19" tooltip="https://www.ice.com/cds-settlement-prices/icc/single-name-instruments"/>
    <hyperlink ref="R384" r:id="rId20" tooltip="https://www.ice.com/cds-settlement-prices/icc/single-name-instruments"/>
    <hyperlink ref="R385" r:id="rId21" tooltip="https://www.ice.com/cds-settlement-prices/icc/single-name-instruments"/>
    <hyperlink ref="R386" r:id="rId22" tooltip="https://www.ice.com/cds-settlement-prices/icc/single-name-instruments"/>
    <hyperlink ref="R387" r:id="rId23" tooltip="https://www.ice.com/cds-settlement-prices/icc/single-name-instruments"/>
    <hyperlink ref="R388" r:id="rId24" tooltip="https://www.ice.com/cds-settlement-prices/icc/single-name-instruments"/>
    <hyperlink ref="R389" r:id="rId25" tooltip="https://www.ice.com/cds-settlement-prices/icc/single-name-instruments"/>
    <hyperlink ref="R390" r:id="rId26" tooltip="https://www.ice.com/cds-settlement-prices/icc/single-name-instruments"/>
    <hyperlink ref="R391" r:id="rId27" tooltip="https://www.ice.com/cds-settlement-prices/icc/single-name-instruments"/>
    <hyperlink ref="R392" r:id="rId28" tooltip="https://www.ice.com/cds-settlement-prices/icc/single-name-instruments"/>
    <hyperlink ref="R393" r:id="rId29" tooltip="https://www.ice.com/cds-settlement-prices/icc/single-name-instruments"/>
    <hyperlink ref="R394" r:id="rId30" tooltip="https://www.ice.com/cds-settlement-prices/icc/single-name-instruments"/>
    <hyperlink ref="R395" r:id="rId31" tooltip="https://www.ice.com/cds-settlement-prices/icc/single-name-instruments"/>
    <hyperlink ref="R396" r:id="rId32" tooltip="https://www.ice.com/cds-settlement-prices/icc/single-name-instruments"/>
    <hyperlink ref="R397" r:id="rId33" tooltip="https://www.ice.com/cds-settlement-prices/icc/single-name-instruments"/>
    <hyperlink ref="R398" r:id="rId34" tooltip="https://www.ice.com/cds-settlement-prices/icc/single-name-instruments"/>
    <hyperlink ref="R399" r:id="rId35" tooltip="https://www.ice.com/cds-settlement-prices/icc/single-name-instruments"/>
    <hyperlink ref="R400" r:id="rId36" tooltip="https://www.ice.com/cds-settlement-prices/icc/single-name-instruments"/>
    <hyperlink ref="R401" r:id="rId37" tooltip="https://www.ice.com/cds-settlement-prices/icc/single-name-instruments"/>
    <hyperlink ref="R402" r:id="rId38" tooltip="https://www.ice.com/cds-settlement-prices/icc/single-name-instruments"/>
    <hyperlink ref="R403" r:id="rId39" tooltip="https://www.ice.com/cds-settlement-prices/icc/single-name-instruments"/>
    <hyperlink ref="R404" r:id="rId40" tooltip="https://www.ice.com/cds-settlement-prices/icc/single-name-instruments"/>
    <hyperlink ref="R405" r:id="rId41" tooltip="https://www.ice.com/cds-settlement-prices/icc/single-name-instruments"/>
    <hyperlink ref="R406" r:id="rId42" tooltip="https://www.ice.com/cds-settlement-prices/icc/single-name-instruments"/>
    <hyperlink ref="R407" r:id="rId43" tooltip="https://www.ice.com/cds-settlement-prices/icc/single-name-instruments"/>
    <hyperlink ref="R408" r:id="rId44" tooltip="https://www.ice.com/cds-settlement-prices/icc/single-name-instruments"/>
    <hyperlink ref="R409" r:id="rId45" tooltip="https://www.ice.com/cds-settlement-prices/icc/single-name-instruments"/>
    <hyperlink ref="R410" r:id="rId46" tooltip="https://www.ice.com/cds-settlement-prices/icc/single-name-instruments"/>
    <hyperlink ref="R411" r:id="rId47" tooltip="https://www.ice.com/cds-settlement-prices/icc/single-name-instruments"/>
    <hyperlink ref="R412" r:id="rId48" tooltip="https://www.ice.com/cds-settlement-prices/icc/single-name-instruments"/>
    <hyperlink ref="R413" r:id="rId49" tooltip="https://www.ice.com/cds-settlement-prices/icc/single-name-instruments"/>
    <hyperlink ref="R414" r:id="rId50" tooltip="https://www.ice.com/cds-settlement-prices/icc/single-name-instruments"/>
    <hyperlink ref="R415" r:id="rId51" tooltip="https://www.ice.com/cds-settlement-prices/icc/single-name-instruments"/>
    <hyperlink ref="R416" r:id="rId52" tooltip="https://www.ice.com/cds-settlement-prices/icc/single-name-instruments"/>
    <hyperlink ref="R417" r:id="rId53" tooltip="https://www.ice.com/cds-settlement-prices/icc/single-name-instruments"/>
    <hyperlink ref="R418" r:id="rId54" tooltip="https://www.ice.com/cds-settlement-prices/icc/single-name-instruments"/>
    <hyperlink ref="R419" r:id="rId55" tooltip="https://www.ice.com/cds-settlement-prices/icc/single-name-instruments"/>
    <hyperlink ref="R420" r:id="rId56" tooltip="https://www.ice.com/cds-settlement-prices/icc/single-name-instruments"/>
    <hyperlink ref="R421" r:id="rId57" tooltip="https://www.ice.com/cds-settlement-prices/icc/single-name-instruments"/>
    <hyperlink ref="R422" r:id="rId58" tooltip="https://www.ice.com/cds-settlement-prices/icc/single-name-instruments"/>
    <hyperlink ref="R423" r:id="rId59" tooltip="https://www.ice.com/cds-settlement-prices/icc/single-name-instruments"/>
    <hyperlink ref="R424" r:id="rId60" tooltip="https://www.ice.com/cds-settlement-prices/icc/single-name-instruments"/>
    <hyperlink ref="R425" r:id="rId61" tooltip="https://www.ice.com/cds-settlement-prices/icc/single-name-instruments"/>
    <hyperlink ref="R426" r:id="rId62" tooltip="https://www.ice.com/cds-settlement-prices/icc/single-name-instruments"/>
    <hyperlink ref="R427" r:id="rId63" tooltip="https://www.ice.com/cds-settlement-prices/icc/single-name-instruments"/>
    <hyperlink ref="R428" r:id="rId64" tooltip="https://www.ice.com/cds-settlement-prices/icc/single-name-instruments"/>
    <hyperlink ref="R429" r:id="rId65" tooltip="https://www.ice.com/cds-settlement-prices/icc/single-name-instruments"/>
    <hyperlink ref="R430" r:id="rId66" tooltip="https://www.ice.com/cds-settlement-prices/icc/single-name-instruments"/>
    <hyperlink ref="R431" r:id="rId67" tooltip="https://www.ice.com/cds-settlement-prices/icc/single-name-instruments"/>
    <hyperlink ref="R432" r:id="rId68" tooltip="https://www.ice.com/cds-settlement-prices/icc/single-name-instruments"/>
    <hyperlink ref="R433" r:id="rId69" tooltip="https://www.ice.com/cds-settlement-prices/icc/single-name-instruments"/>
    <hyperlink ref="R434" r:id="rId70" tooltip="https://www.ice.com/cds-settlement-prices/icc/single-name-instruments"/>
    <hyperlink ref="R435" r:id="rId71" tooltip="https://www.ice.com/cds-settlement-prices/icc/single-name-instruments"/>
    <hyperlink ref="R436" r:id="rId72" tooltip="https://www.ice.com/cds-settlement-prices/icc/single-name-instruments"/>
    <hyperlink ref="R437" r:id="rId73" tooltip="https://www.ice.com/cds-settlement-prices/icc/single-name-instruments"/>
    <hyperlink ref="R438" r:id="rId74" tooltip="https://www.ice.com/cds-settlement-prices/icc/single-name-instruments"/>
    <hyperlink ref="R439" r:id="rId75" tooltip="https://www.ice.com/cds-settlement-prices/icc/single-name-instruments"/>
    <hyperlink ref="R440" r:id="rId76" tooltip="https://www.ice.com/cds-settlement-prices/icc/single-name-instruments"/>
    <hyperlink ref="R441" r:id="rId77" tooltip="https://www.ice.com/cds-settlement-prices/icc/single-name-instruments"/>
    <hyperlink ref="R442" r:id="rId78" tooltip="https://www.ice.com/cds-settlement-prices/icc/single-name-instruments"/>
    <hyperlink ref="R443" r:id="rId79" tooltip="https://www.ice.com/cds-settlement-prices/icc/single-name-instruments"/>
    <hyperlink ref="R444" r:id="rId80" tooltip="https://www.ice.com/cds-settlement-prices/icc/single-name-instruments"/>
    <hyperlink ref="R445" r:id="rId81" tooltip="https://www.ice.com/cds-settlement-prices/icc/single-name-instruments"/>
    <hyperlink ref="R446" r:id="rId82" tooltip="https://www.ice.com/cds-settlement-prices/icc/single-name-instruments"/>
    <hyperlink ref="R447" r:id="rId83" tooltip="https://www.ice.com/cds-settlement-prices/icc/single-name-instruments"/>
    <hyperlink ref="R448" r:id="rId84" tooltip="https://www.ice.com/cds-settlement-prices/icc/single-name-instruments"/>
    <hyperlink ref="R449" r:id="rId85" tooltip="https://www.ice.com/cds-settlement-prices/icc/single-name-instruments"/>
    <hyperlink ref="R450" r:id="rId86" tooltip="https://www.ice.com/cds-settlement-prices/icc/single-name-instruments"/>
    <hyperlink ref="R451" r:id="rId87" tooltip="https://www.ice.com/cds-settlement-prices/icc/single-name-instruments"/>
    <hyperlink ref="R452" r:id="rId88" tooltip="https://www.ice.com/cds-settlement-prices/icc/single-name-instruments"/>
    <hyperlink ref="R453" r:id="rId89" tooltip="https://www.ice.com/cds-settlement-prices/icc/single-name-instruments"/>
    <hyperlink ref="R454" r:id="rId90" tooltip="https://www.ice.com/cds-settlement-prices/icc/single-name-instruments"/>
    <hyperlink ref="R455" r:id="rId91" tooltip="https://www.ice.com/cds-settlement-prices/icc/single-name-instruments"/>
    <hyperlink ref="R456" r:id="rId92" tooltip="https://www.ice.com/cds-settlement-prices/icc/single-name-instruments"/>
    <hyperlink ref="R457" r:id="rId93" tooltip="https://www.ice.com/cds-settlement-prices/icc/single-name-instruments"/>
    <hyperlink ref="R458" r:id="rId94" tooltip="https://www.ice.com/cds-settlement-prices/icc/single-name-instruments"/>
    <hyperlink ref="R459" r:id="rId95" tooltip="https://www.ice.com/cds-settlement-prices/icc/single-name-instruments"/>
    <hyperlink ref="R460" r:id="rId96" tooltip="https://www.ice.com/cds-settlement-prices/icc/single-name-instruments"/>
    <hyperlink ref="R461" r:id="rId97" tooltip="https://www.ice.com/cds-settlement-prices/icc/single-name-instruments"/>
    <hyperlink ref="R462" r:id="rId98" tooltip="https://www.ice.com/cds-settlement-prices/icc/single-name-instruments"/>
    <hyperlink ref="R463" r:id="rId99" tooltip="https://www.ice.com/cds-settlement-prices/icc/single-name-instruments"/>
    <hyperlink ref="R464" r:id="rId100" tooltip="https://www.ice.com/cds-settlement-prices/icc/single-name-instruments"/>
    <hyperlink ref="R465" r:id="rId101" tooltip="https://www.ice.com/cds-settlement-prices/icc/single-name-instruments"/>
    <hyperlink ref="R466" r:id="rId102" tooltip="https://www.ice.com/cds-settlement-prices/icc/single-name-instruments"/>
    <hyperlink ref="R467" r:id="rId103" tooltip="https://www.ice.com/cds-settlement-prices/icc/single-name-instruments"/>
    <hyperlink ref="R468" r:id="rId104" tooltip="https://www.ice.com/cds-settlement-prices/icc/single-name-instruments"/>
    <hyperlink ref="R469" r:id="rId105" tooltip="https://www.ice.com/cds-settlement-prices/icc/single-name-instruments"/>
    <hyperlink ref="R470" r:id="rId106" tooltip="https://www.ice.com/cds-settlement-prices/icc/single-name-instruments"/>
    <hyperlink ref="R471" r:id="rId107" tooltip="https://www.ice.com/cds-settlement-prices/icc/single-name-instruments"/>
    <hyperlink ref="R472" r:id="rId108" tooltip="https://www.ice.com/cds-settlement-prices/icc/single-name-instruments"/>
    <hyperlink ref="R473" r:id="rId109" tooltip="https://www.ice.com/cds-settlement-prices/icc/single-name-instruments"/>
    <hyperlink ref="R474" r:id="rId110" tooltip="https://www.ice.com/cds-settlement-prices/icc/single-name-instruments"/>
    <hyperlink ref="R475" r:id="rId111" tooltip="https://www.ice.com/cds-settlement-prices/icc/single-name-instruments"/>
    <hyperlink ref="R476" r:id="rId112" tooltip="https://www.ice.com/cds-settlement-prices/icc/single-name-instruments"/>
    <hyperlink ref="R477" r:id="rId113" tooltip="https://www.ice.com/cds-settlement-prices/icc/single-name-instruments"/>
    <hyperlink ref="R478" r:id="rId114" tooltip="https://www.ice.com/cds-settlement-prices/icc/single-name-instruments"/>
    <hyperlink ref="R479" r:id="rId115" tooltip="https://www.ice.com/cds-settlement-prices/icc/single-name-instruments"/>
    <hyperlink ref="R480" r:id="rId116" tooltip="https://www.ice.com/cds-settlement-prices/icc/single-name-instruments"/>
    <hyperlink ref="R481" r:id="rId117" tooltip="https://www.ice.com/cds-settlement-prices/icc/single-name-instruments"/>
    <hyperlink ref="R482" r:id="rId118" tooltip="https://www.ice.com/cds-settlement-prices/icc/single-name-instruments"/>
    <hyperlink ref="R483" r:id="rId119" tooltip="https://www.ice.com/cds-settlement-prices/icc/single-name-instruments"/>
    <hyperlink ref="R484" r:id="rId120" tooltip="https://www.ice.com/cds-settlement-prices/icc/single-name-instruments"/>
    <hyperlink ref="R485" r:id="rId121" tooltip="https://www.ice.com/cds-settlement-prices/icc/single-name-instruments"/>
    <hyperlink ref="R486" r:id="rId122" tooltip="https://www.ice.com/cds-settlement-prices/icc/single-name-instruments"/>
    <hyperlink ref="R487" r:id="rId123" tooltip="https://www.ice.com/cds-settlement-prices/icc/single-name-instruments"/>
    <hyperlink ref="R488" r:id="rId124" tooltip="https://www.ice.com/cds-settlement-prices/icc/single-name-instruments"/>
    <hyperlink ref="R489" r:id="rId125" tooltip="https://www.ice.com/cds-settlement-prices/icc/single-name-instruments"/>
    <hyperlink ref="R490" r:id="rId126" tooltip="https://www.ice.com/cds-settlement-prices/icc/single-name-instruments"/>
    <hyperlink ref="R491" r:id="rId127" tooltip="https://www.ice.com/cds-settlement-prices/icc/single-name-instruments"/>
    <hyperlink ref="R492" r:id="rId128" tooltip="https://www.ice.com/cds-settlement-prices/icc/single-name-instruments"/>
    <hyperlink ref="R493" r:id="rId129" tooltip="https://www.ice.com/cds-settlement-prices/icc/single-name-instruments"/>
    <hyperlink ref="R494" r:id="rId130" tooltip="https://www.ice.com/cds-settlement-prices/icc/single-name-instruments"/>
    <hyperlink ref="R495" r:id="rId131" tooltip="https://www.ice.com/cds-settlement-prices/icc/single-name-instruments"/>
    <hyperlink ref="R496" r:id="rId132" tooltip="https://www.ice.com/cds-settlement-prices/icc/single-name-instruments"/>
    <hyperlink ref="R497" r:id="rId133" tooltip="https://www.ice.com/cds-settlement-prices/icc/single-name-instruments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7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18" outlineLevelRow="0" outlineLevelCol="0" x14ac:dyDescent="55" customHeight="1"/>
  <cols>
    <col min="1" max="1" width="14" customWidth="1"/>
    <col min="2" max="2" width="16" customWidth="1"/>
    <col min="3" max="3" width="15" customWidth="1"/>
    <col min="4" max="7" width="14" customWidth="1"/>
    <col min="8" max="8" width="18" customWidth="1"/>
    <col min="9" max="9" width="24" customWidth="1"/>
    <col min="10" max="10" width="42" customWidth="1"/>
    <col min="11" max="11" width="18" customWidth="1"/>
  </cols>
  <sheetData>
    <row r="1" ht="28" customHeight="1" spans="1:11" x14ac:dyDescent="0.25">
      <c r="A1" s="1" t="s">
        <v>111</v>
      </c>
      <c r="B1" s="1" t="s">
        <v>2</v>
      </c>
      <c r="C1" s="1" t="s">
        <v>69</v>
      </c>
      <c r="D1" s="1" t="s">
        <v>112</v>
      </c>
      <c r="E1" s="1" t="s">
        <v>113</v>
      </c>
      <c r="F1" s="1" t="s">
        <v>114</v>
      </c>
      <c r="G1" s="1" t="s">
        <v>5</v>
      </c>
      <c r="H1" s="1" t="s">
        <v>77</v>
      </c>
      <c r="I1" s="1" t="s">
        <v>0</v>
      </c>
      <c r="J1" s="1" t="s">
        <v>4</v>
      </c>
      <c r="K1" s="1" t="s">
        <v>6</v>
      </c>
    </row>
    <row r="2" spans="1:11" x14ac:dyDescent="0.25">
      <c r="A2" s="3">
        <v>46183</v>
      </c>
      <c r="B2" s="2" t="s">
        <v>9</v>
      </c>
      <c r="C2" s="18">
        <f>'Derived 5Y Spreads'!G2</f>
        <v>160</v>
      </c>
      <c r="D2" s="19" t="str">
        <f>IFERROR(NA(),"")</f>
        <v/>
      </c>
      <c r="E2" s="19" t="str">
        <f>IFERROR(NA(),"")</f>
        <v/>
      </c>
      <c r="F2" s="19" t="str">
        <f>IFERROR(NA(),"")</f>
        <v/>
      </c>
      <c r="G2" s="20">
        <f>'Derived 5Y Spreads'!E2</f>
      </c>
      <c r="H2" s="21" t="str">
        <f>'Derived 5Y Spreads'!O2</f>
        <v>stale</v>
      </c>
      <c r="I2" s="22" t="str">
        <f>'Derived 5Y Spreads'!A2</f>
        <v>screenshot-reference-20260824-v1</v>
      </c>
      <c r="J2" s="22" t="str">
        <f>'Derived 5Y Spreads'!D2</f>
        <v>SCREENSHOT.ORCLE.5Y</v>
      </c>
      <c r="K2" s="5"/>
    </row>
    <row r="3" spans="1:11" x14ac:dyDescent="0.25">
      <c r="A3" s="7">
        <v>46183</v>
      </c>
      <c r="B3" s="6" t="s">
        <v>14</v>
      </c>
      <c r="C3" s="23">
        <f>'Derived 5Y Spreads'!G3</f>
        <v>510</v>
      </c>
      <c r="D3" s="24" t="str">
        <f>IFERROR(NA(),"")</f>
        <v/>
      </c>
      <c r="E3" s="24" t="str">
        <f>IFERROR(NA(),"")</f>
        <v/>
      </c>
      <c r="F3" s="24" t="str">
        <f>IFERROR(NA(),"")</f>
        <v/>
      </c>
      <c r="G3" s="25">
        <f>'Derived 5Y Spreads'!E3</f>
      </c>
      <c r="H3" s="21" t="str">
        <f>'Derived 5Y Spreads'!O3</f>
        <v>stale</v>
      </c>
      <c r="I3" s="26" t="str">
        <f>'Derived 5Y Spreads'!A3</f>
        <v>screenshot-reference-20260824-v1</v>
      </c>
      <c r="J3" s="26" t="str">
        <f>'Derived 5Y Spreads'!D3</f>
        <v>SCREENSHOT.COREWEI.5Y</v>
      </c>
      <c r="K3" s="9"/>
    </row>
    <row r="4" spans="1:11" x14ac:dyDescent="0.25">
      <c r="A4" s="3">
        <v>46183</v>
      </c>
      <c r="B4" s="2" t="s">
        <v>20</v>
      </c>
      <c r="C4" s="18">
        <f>'Derived 5Y Spreads'!G4</f>
        <v>51</v>
      </c>
      <c r="D4" s="19" t="str">
        <f>IFERROR(NA(),"")</f>
        <v/>
      </c>
      <c r="E4" s="19" t="str">
        <f>IFERROR(NA(),"")</f>
        <v/>
      </c>
      <c r="F4" s="19" t="str">
        <f>IFERROR(NA(),"")</f>
        <v/>
      </c>
      <c r="G4" s="20">
        <f>'Derived 5Y Spreads'!E4</f>
      </c>
      <c r="H4" s="21" t="str">
        <f>'Derived 5Y Spreads'!O4</f>
        <v>stale</v>
      </c>
      <c r="I4" s="22" t="str">
        <f>'Derived 5Y Spreads'!A4</f>
        <v>screenshot-reference-20260824-v1</v>
      </c>
      <c r="J4" s="22" t="str">
        <f>'Derived 5Y Spreads'!D4</f>
        <v>SCREENSHOT.AMZN.5Y</v>
      </c>
      <c r="K4" s="5"/>
    </row>
    <row r="5" spans="1:11" x14ac:dyDescent="0.25">
      <c r="A5" s="7">
        <v>46183</v>
      </c>
      <c r="B5" s="6" t="s">
        <v>23</v>
      </c>
      <c r="C5" s="23">
        <f>'Derived 5Y Spreads'!G5</f>
        <v>50</v>
      </c>
      <c r="D5" s="24" t="str">
        <f>IFERROR(NA(),"")</f>
        <v/>
      </c>
      <c r="E5" s="24" t="str">
        <f>IFERROR(NA(),"")</f>
        <v/>
      </c>
      <c r="F5" s="24" t="str">
        <f>IFERROR(NA(),"")</f>
        <v/>
      </c>
      <c r="G5" s="25">
        <f>'Derived 5Y Spreads'!E5</f>
      </c>
      <c r="H5" s="21" t="str">
        <f>'Derived 5Y Spreads'!O5</f>
        <v>stale</v>
      </c>
      <c r="I5" s="26" t="str">
        <f>'Derived 5Y Spreads'!A5</f>
        <v>screenshot-reference-20260824-v1</v>
      </c>
      <c r="J5" s="26" t="str">
        <f>'Derived 5Y Spreads'!D5</f>
        <v>SCREENSHOT.ALPHINC.5Y</v>
      </c>
      <c r="K5" s="9"/>
    </row>
    <row r="6" spans="1:11" x14ac:dyDescent="0.25">
      <c r="A6" s="3">
        <v>46183</v>
      </c>
      <c r="B6" s="2" t="s">
        <v>26</v>
      </c>
      <c r="C6" s="18">
        <f>'Derived 5Y Spreads'!G6</f>
        <v>39</v>
      </c>
      <c r="D6" s="19" t="str">
        <f>IFERROR(NA(),"")</f>
        <v/>
      </c>
      <c r="E6" s="19" t="str">
        <f>IFERROR(NA(),"")</f>
        <v/>
      </c>
      <c r="F6" s="19" t="str">
        <f>IFERROR(NA(),"")</f>
        <v/>
      </c>
      <c r="G6" s="20">
        <f>'Derived 5Y Spreads'!E6</f>
      </c>
      <c r="H6" s="21" t="str">
        <f>'Derived 5Y Spreads'!O6</f>
        <v>stale</v>
      </c>
      <c r="I6" s="22" t="str">
        <f>'Derived 5Y Spreads'!A6</f>
        <v>screenshot-reference-20260824-v1</v>
      </c>
      <c r="J6" s="22" t="str">
        <f>'Derived 5Y Spreads'!D6</f>
        <v>SCREENSHOT.MSFT.5Y</v>
      </c>
      <c r="K6" s="5"/>
    </row>
    <row r="7" spans="1:11" x14ac:dyDescent="0.25">
      <c r="A7" s="7">
        <v>46183</v>
      </c>
      <c r="B7" s="6" t="s">
        <v>29</v>
      </c>
      <c r="C7" s="23">
        <f>'Derived 5Y Spreads'!G7</f>
        <v>71</v>
      </c>
      <c r="D7" s="24" t="str">
        <f>IFERROR(NA(),"")</f>
        <v/>
      </c>
      <c r="E7" s="24" t="str">
        <f>IFERROR(NA(),"")</f>
        <v/>
      </c>
      <c r="F7" s="24" t="str">
        <f>IFERROR(NA(),"")</f>
        <v/>
      </c>
      <c r="G7" s="25">
        <f>'Derived 5Y Spreads'!E7</f>
      </c>
      <c r="H7" s="21" t="str">
        <f>'Derived 5Y Spreads'!O7</f>
        <v>stale</v>
      </c>
      <c r="I7" s="26" t="str">
        <f>'Derived 5Y Spreads'!A7</f>
        <v>screenshot-reference-20260824-v1</v>
      </c>
      <c r="J7" s="26" t="str">
        <f>'Derived 5Y Spreads'!D7</f>
        <v>SCREENSHOT.METAPL.5Y</v>
      </c>
      <c r="K7" s="9"/>
    </row>
    <row r="8" spans="1:11" x14ac:dyDescent="0.25">
      <c r="A8" s="3">
        <v>46184</v>
      </c>
      <c r="B8" s="2" t="s">
        <v>9</v>
      </c>
      <c r="C8" s="18">
        <f>'Derived 5Y Spreads'!G8</f>
        <v>158.8</v>
      </c>
      <c r="D8" s="19">
        <f>C8-'Derived 5Y Spreads'!G2</f>
        <v>-1.1999999999999886</v>
      </c>
      <c r="E8" s="19" t="str">
        <f>IFERROR(NA(),"")</f>
        <v/>
      </c>
      <c r="F8" s="19" t="str">
        <f>IFERROR(NA(),"")</f>
        <v/>
      </c>
      <c r="G8" s="20">
        <f>'Derived 5Y Spreads'!E8</f>
      </c>
      <c r="H8" s="21" t="str">
        <f>'Derived 5Y Spreads'!O8</f>
        <v>stale</v>
      </c>
      <c r="I8" s="22" t="str">
        <f>'Derived 5Y Spreads'!A8</f>
        <v>screenshot-reference-20260824-v1</v>
      </c>
      <c r="J8" s="22" t="str">
        <f>'Derived 5Y Spreads'!D8</f>
        <v>SCREENSHOT.ORCLE.5Y</v>
      </c>
      <c r="K8" s="5"/>
    </row>
    <row r="9" spans="1:11" x14ac:dyDescent="0.25">
      <c r="A9" s="7">
        <v>46184</v>
      </c>
      <c r="B9" s="6" t="s">
        <v>14</v>
      </c>
      <c r="C9" s="23">
        <f>'Derived 5Y Spreads'!G9</f>
        <v>505.71</v>
      </c>
      <c r="D9" s="24">
        <f>C9-'Derived 5Y Spreads'!G3</f>
        <v>-4.2900000000000205</v>
      </c>
      <c r="E9" s="24" t="str">
        <f>IFERROR(NA(),"")</f>
        <v/>
      </c>
      <c r="F9" s="24" t="str">
        <f>IFERROR(NA(),"")</f>
        <v/>
      </c>
      <c r="G9" s="25">
        <f>'Derived 5Y Spreads'!E9</f>
      </c>
      <c r="H9" s="21" t="str">
        <f>'Derived 5Y Spreads'!O9</f>
        <v>stale</v>
      </c>
      <c r="I9" s="26" t="str">
        <f>'Derived 5Y Spreads'!A9</f>
        <v>screenshot-reference-20260824-v1</v>
      </c>
      <c r="J9" s="26" t="str">
        <f>'Derived 5Y Spreads'!D9</f>
        <v>SCREENSHOT.COREWEI.5Y</v>
      </c>
      <c r="K9" s="9"/>
    </row>
    <row r="10" spans="1:11" x14ac:dyDescent="0.25">
      <c r="A10" s="3">
        <v>46184</v>
      </c>
      <c r="B10" s="2" t="s">
        <v>20</v>
      </c>
      <c r="C10" s="18">
        <f>'Derived 5Y Spreads'!G10</f>
        <v>50.86</v>
      </c>
      <c r="D10" s="19">
        <f>C10-'Derived 5Y Spreads'!G4</f>
        <v>-0.14000000000000057</v>
      </c>
      <c r="E10" s="19" t="str">
        <f>IFERROR(NA(),"")</f>
        <v/>
      </c>
      <c r="F10" s="19" t="str">
        <f>IFERROR(NA(),"")</f>
        <v/>
      </c>
      <c r="G10" s="20">
        <f>'Derived 5Y Spreads'!E10</f>
      </c>
      <c r="H10" s="21" t="str">
        <f>'Derived 5Y Spreads'!O10</f>
        <v>stale</v>
      </c>
      <c r="I10" s="22" t="str">
        <f>'Derived 5Y Spreads'!A10</f>
        <v>screenshot-reference-20260824-v1</v>
      </c>
      <c r="J10" s="22" t="str">
        <f>'Derived 5Y Spreads'!D10</f>
        <v>SCREENSHOT.AMZN.5Y</v>
      </c>
      <c r="K10" s="5"/>
    </row>
    <row r="11" spans="1:11" x14ac:dyDescent="0.25">
      <c r="A11" s="7">
        <v>46184</v>
      </c>
      <c r="B11" s="6" t="s">
        <v>23</v>
      </c>
      <c r="C11" s="23">
        <f>'Derived 5Y Spreads'!G11</f>
        <v>49.86</v>
      </c>
      <c r="D11" s="24">
        <f>C11-'Derived 5Y Spreads'!G5</f>
        <v>-0.14000000000000057</v>
      </c>
      <c r="E11" s="24" t="str">
        <f>IFERROR(NA(),"")</f>
        <v/>
      </c>
      <c r="F11" s="24" t="str">
        <f>IFERROR(NA(),"")</f>
        <v/>
      </c>
      <c r="G11" s="25">
        <f>'Derived 5Y Spreads'!E11</f>
      </c>
      <c r="H11" s="21" t="str">
        <f>'Derived 5Y Spreads'!O11</f>
        <v>stale</v>
      </c>
      <c r="I11" s="26" t="str">
        <f>'Derived 5Y Spreads'!A11</f>
        <v>screenshot-reference-20260824-v1</v>
      </c>
      <c r="J11" s="26" t="str">
        <f>'Derived 5Y Spreads'!D11</f>
        <v>SCREENSHOT.ALPHINC.5Y</v>
      </c>
      <c r="K11" s="9"/>
    </row>
    <row r="12" spans="1:11" x14ac:dyDescent="0.25">
      <c r="A12" s="3">
        <v>46184</v>
      </c>
      <c r="B12" s="2" t="s">
        <v>26</v>
      </c>
      <c r="C12" s="18">
        <f>'Derived 5Y Spreads'!G12</f>
        <v>38.86</v>
      </c>
      <c r="D12" s="19">
        <f>C12-'Derived 5Y Spreads'!G6</f>
        <v>-0.14000000000000057</v>
      </c>
      <c r="E12" s="19" t="str">
        <f>IFERROR(NA(),"")</f>
        <v/>
      </c>
      <c r="F12" s="19" t="str">
        <f>IFERROR(NA(),"")</f>
        <v/>
      </c>
      <c r="G12" s="20">
        <f>'Derived 5Y Spreads'!E12</f>
      </c>
      <c r="H12" s="21" t="str">
        <f>'Derived 5Y Spreads'!O12</f>
        <v>stale</v>
      </c>
      <c r="I12" s="22" t="str">
        <f>'Derived 5Y Spreads'!A12</f>
        <v>screenshot-reference-20260824-v1</v>
      </c>
      <c r="J12" s="22" t="str">
        <f>'Derived 5Y Spreads'!D12</f>
        <v>SCREENSHOT.MSFT.5Y</v>
      </c>
      <c r="K12" s="5"/>
    </row>
    <row r="13" spans="1:11" x14ac:dyDescent="0.25">
      <c r="A13" s="7">
        <v>46184</v>
      </c>
      <c r="B13" s="6" t="s">
        <v>29</v>
      </c>
      <c r="C13" s="23">
        <f>'Derived 5Y Spreads'!G13</f>
        <v>70.71</v>
      </c>
      <c r="D13" s="24">
        <f>C13-'Derived 5Y Spreads'!G7</f>
        <v>-0.29000000000000625</v>
      </c>
      <c r="E13" s="24" t="str">
        <f>IFERROR(NA(),"")</f>
        <v/>
      </c>
      <c r="F13" s="24" t="str">
        <f>IFERROR(NA(),"")</f>
        <v/>
      </c>
      <c r="G13" s="25">
        <f>'Derived 5Y Spreads'!E13</f>
      </c>
      <c r="H13" s="21" t="str">
        <f>'Derived 5Y Spreads'!O13</f>
        <v>stale</v>
      </c>
      <c r="I13" s="26" t="str">
        <f>'Derived 5Y Spreads'!A13</f>
        <v>screenshot-reference-20260824-v1</v>
      </c>
      <c r="J13" s="26" t="str">
        <f>'Derived 5Y Spreads'!D13</f>
        <v>SCREENSHOT.METAPL.5Y</v>
      </c>
      <c r="K13" s="9"/>
    </row>
    <row r="14" spans="1:11" x14ac:dyDescent="0.25">
      <c r="A14" s="3">
        <v>46185</v>
      </c>
      <c r="B14" s="2" t="s">
        <v>9</v>
      </c>
      <c r="C14" s="18">
        <f>'Derived 5Y Spreads'!G14</f>
        <v>157.6</v>
      </c>
      <c r="D14" s="19">
        <f>C14-'Derived 5Y Spreads'!G8</f>
        <v>-1.200000000000017</v>
      </c>
      <c r="E14" s="19" t="str">
        <f>IFERROR(NA(),"")</f>
        <v/>
      </c>
      <c r="F14" s="19" t="str">
        <f>IFERROR(NA(),"")</f>
        <v/>
      </c>
      <c r="G14" s="20">
        <f>'Derived 5Y Spreads'!E14</f>
      </c>
      <c r="H14" s="21" t="str">
        <f>'Derived 5Y Spreads'!O14</f>
        <v>stale</v>
      </c>
      <c r="I14" s="22" t="str">
        <f>'Derived 5Y Spreads'!A14</f>
        <v>screenshot-reference-20260824-v1</v>
      </c>
      <c r="J14" s="22" t="str">
        <f>'Derived 5Y Spreads'!D14</f>
        <v>SCREENSHOT.ORCLE.5Y</v>
      </c>
      <c r="K14" s="5"/>
    </row>
    <row r="15" spans="1:11" x14ac:dyDescent="0.25">
      <c r="A15" s="7">
        <v>46185</v>
      </c>
      <c r="B15" s="6" t="s">
        <v>14</v>
      </c>
      <c r="C15" s="23">
        <f>'Derived 5Y Spreads'!G15</f>
        <v>501.43</v>
      </c>
      <c r="D15" s="24">
        <f>C15-'Derived 5Y Spreads'!G9</f>
        <v>-4.279999999999973</v>
      </c>
      <c r="E15" s="24" t="str">
        <f>IFERROR(NA(),"")</f>
        <v/>
      </c>
      <c r="F15" s="24" t="str">
        <f>IFERROR(NA(),"")</f>
        <v/>
      </c>
      <c r="G15" s="25">
        <f>'Derived 5Y Spreads'!E15</f>
      </c>
      <c r="H15" s="21" t="str">
        <f>'Derived 5Y Spreads'!O15</f>
        <v>stale</v>
      </c>
      <c r="I15" s="26" t="str">
        <f>'Derived 5Y Spreads'!A15</f>
        <v>screenshot-reference-20260824-v1</v>
      </c>
      <c r="J15" s="26" t="str">
        <f>'Derived 5Y Spreads'!D15</f>
        <v>SCREENSHOT.COREWEI.5Y</v>
      </c>
      <c r="K15" s="9"/>
    </row>
    <row r="16" spans="1:11" x14ac:dyDescent="0.25">
      <c r="A16" s="3">
        <v>46185</v>
      </c>
      <c r="B16" s="2" t="s">
        <v>20</v>
      </c>
      <c r="C16" s="18">
        <f>'Derived 5Y Spreads'!G16</f>
        <v>50.71</v>
      </c>
      <c r="D16" s="19">
        <f>C16-'Derived 5Y Spreads'!G10</f>
        <v>-0.14999999999999858</v>
      </c>
      <c r="E16" s="19" t="str">
        <f>IFERROR(NA(),"")</f>
        <v/>
      </c>
      <c r="F16" s="19" t="str">
        <f>IFERROR(NA(),"")</f>
        <v/>
      </c>
      <c r="G16" s="20">
        <f>'Derived 5Y Spreads'!E16</f>
      </c>
      <c r="H16" s="21" t="str">
        <f>'Derived 5Y Spreads'!O16</f>
        <v>stale</v>
      </c>
      <c r="I16" s="22" t="str">
        <f>'Derived 5Y Spreads'!A16</f>
        <v>screenshot-reference-20260824-v1</v>
      </c>
      <c r="J16" s="22" t="str">
        <f>'Derived 5Y Spreads'!D16</f>
        <v>SCREENSHOT.AMZN.5Y</v>
      </c>
      <c r="K16" s="5"/>
    </row>
    <row r="17" spans="1:11" x14ac:dyDescent="0.25">
      <c r="A17" s="7">
        <v>46185</v>
      </c>
      <c r="B17" s="6" t="s">
        <v>23</v>
      </c>
      <c r="C17" s="23">
        <f>'Derived 5Y Spreads'!G17</f>
        <v>49.71</v>
      </c>
      <c r="D17" s="24">
        <f>C17-'Derived 5Y Spreads'!G11</f>
        <v>-0.14999999999999858</v>
      </c>
      <c r="E17" s="24" t="str">
        <f>IFERROR(NA(),"")</f>
        <v/>
      </c>
      <c r="F17" s="24" t="str">
        <f>IFERROR(NA(),"")</f>
        <v/>
      </c>
      <c r="G17" s="25">
        <f>'Derived 5Y Spreads'!E17</f>
      </c>
      <c r="H17" s="21" t="str">
        <f>'Derived 5Y Spreads'!O17</f>
        <v>stale</v>
      </c>
      <c r="I17" s="26" t="str">
        <f>'Derived 5Y Spreads'!A17</f>
        <v>screenshot-reference-20260824-v1</v>
      </c>
      <c r="J17" s="26" t="str">
        <f>'Derived 5Y Spreads'!D17</f>
        <v>SCREENSHOT.ALPHINC.5Y</v>
      </c>
      <c r="K17" s="9"/>
    </row>
    <row r="18" spans="1:11" x14ac:dyDescent="0.25">
      <c r="A18" s="3">
        <v>46185</v>
      </c>
      <c r="B18" s="2" t="s">
        <v>26</v>
      </c>
      <c r="C18" s="18">
        <f>'Derived 5Y Spreads'!G18</f>
        <v>38.71</v>
      </c>
      <c r="D18" s="19">
        <f>C18-'Derived 5Y Spreads'!G12</f>
        <v>-0.14999999999999858</v>
      </c>
      <c r="E18" s="19" t="str">
        <f>IFERROR(NA(),"")</f>
        <v/>
      </c>
      <c r="F18" s="19" t="str">
        <f>IFERROR(NA(),"")</f>
        <v/>
      </c>
      <c r="G18" s="20">
        <f>'Derived 5Y Spreads'!E18</f>
      </c>
      <c r="H18" s="21" t="str">
        <f>'Derived 5Y Spreads'!O18</f>
        <v>stale</v>
      </c>
      <c r="I18" s="22" t="str">
        <f>'Derived 5Y Spreads'!A18</f>
        <v>screenshot-reference-20260824-v1</v>
      </c>
      <c r="J18" s="22" t="str">
        <f>'Derived 5Y Spreads'!D18</f>
        <v>SCREENSHOT.MSFT.5Y</v>
      </c>
      <c r="K18" s="5"/>
    </row>
    <row r="19" spans="1:11" x14ac:dyDescent="0.25">
      <c r="A19" s="7">
        <v>46185</v>
      </c>
      <c r="B19" s="6" t="s">
        <v>29</v>
      </c>
      <c r="C19" s="23">
        <f>'Derived 5Y Spreads'!G19</f>
        <v>70.43</v>
      </c>
      <c r="D19" s="24">
        <f>C19-'Derived 5Y Spreads'!G13</f>
        <v>-0.2799999999999869</v>
      </c>
      <c r="E19" s="24" t="str">
        <f>IFERROR(NA(),"")</f>
        <v/>
      </c>
      <c r="F19" s="24" t="str">
        <f>IFERROR(NA(),"")</f>
        <v/>
      </c>
      <c r="G19" s="25">
        <f>'Derived 5Y Spreads'!E19</f>
      </c>
      <c r="H19" s="21" t="str">
        <f>'Derived 5Y Spreads'!O19</f>
        <v>stale</v>
      </c>
      <c r="I19" s="26" t="str">
        <f>'Derived 5Y Spreads'!A19</f>
        <v>screenshot-reference-20260824-v1</v>
      </c>
      <c r="J19" s="26" t="str">
        <f>'Derived 5Y Spreads'!D19</f>
        <v>SCREENSHOT.METAPL.5Y</v>
      </c>
      <c r="K19" s="9"/>
    </row>
    <row r="20" spans="1:11" x14ac:dyDescent="0.25">
      <c r="A20" s="3">
        <v>46188</v>
      </c>
      <c r="B20" s="2" t="s">
        <v>9</v>
      </c>
      <c r="C20" s="18">
        <f>'Derived 5Y Spreads'!G20</f>
        <v>154</v>
      </c>
      <c r="D20" s="19">
        <f>C20-'Derived 5Y Spreads'!G14</f>
        <v>-3.5999999999999943</v>
      </c>
      <c r="E20" s="19" t="str">
        <f>IFERROR(NA(),"")</f>
        <v/>
      </c>
      <c r="F20" s="19" t="str">
        <f>IFERROR(NA(),"")</f>
        <v/>
      </c>
      <c r="G20" s="20">
        <f>'Derived 5Y Spreads'!E20</f>
      </c>
      <c r="H20" s="21" t="str">
        <f>'Derived 5Y Spreads'!O20</f>
        <v>stale</v>
      </c>
      <c r="I20" s="22" t="str">
        <f>'Derived 5Y Spreads'!A20</f>
        <v>screenshot-reference-20260824-v1</v>
      </c>
      <c r="J20" s="22" t="str">
        <f>'Derived 5Y Spreads'!D20</f>
        <v>SCREENSHOT.ORCLE.5Y</v>
      </c>
      <c r="K20" s="5"/>
    </row>
    <row r="21" spans="1:11" x14ac:dyDescent="0.25">
      <c r="A21" s="7">
        <v>46188</v>
      </c>
      <c r="B21" s="6" t="s">
        <v>14</v>
      </c>
      <c r="C21" s="23">
        <f>'Derived 5Y Spreads'!G21</f>
        <v>488.57</v>
      </c>
      <c r="D21" s="24">
        <f>C21-'Derived 5Y Spreads'!G15</f>
        <v>-12.860000000000014</v>
      </c>
      <c r="E21" s="24" t="str">
        <f>IFERROR(NA(),"")</f>
        <v/>
      </c>
      <c r="F21" s="24" t="str">
        <f>IFERROR(NA(),"")</f>
        <v/>
      </c>
      <c r="G21" s="25">
        <f>'Derived 5Y Spreads'!E21</f>
      </c>
      <c r="H21" s="21" t="str">
        <f>'Derived 5Y Spreads'!O21</f>
        <v>stale</v>
      </c>
      <c r="I21" s="26" t="str">
        <f>'Derived 5Y Spreads'!A21</f>
        <v>screenshot-reference-20260824-v1</v>
      </c>
      <c r="J21" s="26" t="str">
        <f>'Derived 5Y Spreads'!D21</f>
        <v>SCREENSHOT.COREWEI.5Y</v>
      </c>
      <c r="K21" s="9"/>
    </row>
    <row r="22" spans="1:11" x14ac:dyDescent="0.25">
      <c r="A22" s="3">
        <v>46188</v>
      </c>
      <c r="B22" s="2" t="s">
        <v>20</v>
      </c>
      <c r="C22" s="18">
        <f>'Derived 5Y Spreads'!G22</f>
        <v>50.29</v>
      </c>
      <c r="D22" s="19">
        <f>C22-'Derived 5Y Spreads'!G16</f>
        <v>-0.4200000000000017</v>
      </c>
      <c r="E22" s="19" t="str">
        <f>IFERROR(NA(),"")</f>
        <v/>
      </c>
      <c r="F22" s="19" t="str">
        <f>IFERROR(NA(),"")</f>
        <v/>
      </c>
      <c r="G22" s="20">
        <f>'Derived 5Y Spreads'!E22</f>
      </c>
      <c r="H22" s="21" t="str">
        <f>'Derived 5Y Spreads'!O22</f>
        <v>stale</v>
      </c>
      <c r="I22" s="22" t="str">
        <f>'Derived 5Y Spreads'!A22</f>
        <v>screenshot-reference-20260824-v1</v>
      </c>
      <c r="J22" s="22" t="str">
        <f>'Derived 5Y Spreads'!D22</f>
        <v>SCREENSHOT.AMZN.5Y</v>
      </c>
      <c r="K22" s="5"/>
    </row>
    <row r="23" spans="1:11" x14ac:dyDescent="0.25">
      <c r="A23" s="7">
        <v>46188</v>
      </c>
      <c r="B23" s="6" t="s">
        <v>23</v>
      </c>
      <c r="C23" s="23">
        <f>'Derived 5Y Spreads'!G23</f>
        <v>49.29</v>
      </c>
      <c r="D23" s="24">
        <f>C23-'Derived 5Y Spreads'!G17</f>
        <v>-0.4200000000000017</v>
      </c>
      <c r="E23" s="24" t="str">
        <f>IFERROR(NA(),"")</f>
        <v/>
      </c>
      <c r="F23" s="24" t="str">
        <f>IFERROR(NA(),"")</f>
        <v/>
      </c>
      <c r="G23" s="25">
        <f>'Derived 5Y Spreads'!E23</f>
      </c>
      <c r="H23" s="21" t="str">
        <f>'Derived 5Y Spreads'!O23</f>
        <v>stale</v>
      </c>
      <c r="I23" s="26" t="str">
        <f>'Derived 5Y Spreads'!A23</f>
        <v>screenshot-reference-20260824-v1</v>
      </c>
      <c r="J23" s="26" t="str">
        <f>'Derived 5Y Spreads'!D23</f>
        <v>SCREENSHOT.ALPHINC.5Y</v>
      </c>
      <c r="K23" s="9"/>
    </row>
    <row r="24" spans="1:11" x14ac:dyDescent="0.25">
      <c r="A24" s="3">
        <v>46188</v>
      </c>
      <c r="B24" s="2" t="s">
        <v>26</v>
      </c>
      <c r="C24" s="18">
        <f>'Derived 5Y Spreads'!G24</f>
        <v>38.29</v>
      </c>
      <c r="D24" s="19">
        <f>C24-'Derived 5Y Spreads'!G18</f>
        <v>-0.4200000000000017</v>
      </c>
      <c r="E24" s="19" t="str">
        <f>IFERROR(NA(),"")</f>
        <v/>
      </c>
      <c r="F24" s="19" t="str">
        <f>IFERROR(NA(),"")</f>
        <v/>
      </c>
      <c r="G24" s="20">
        <f>'Derived 5Y Spreads'!E24</f>
      </c>
      <c r="H24" s="21" t="str">
        <f>'Derived 5Y Spreads'!O24</f>
        <v>stale</v>
      </c>
      <c r="I24" s="22" t="str">
        <f>'Derived 5Y Spreads'!A24</f>
        <v>screenshot-reference-20260824-v1</v>
      </c>
      <c r="J24" s="22" t="str">
        <f>'Derived 5Y Spreads'!D24</f>
        <v>SCREENSHOT.MSFT.5Y</v>
      </c>
      <c r="K24" s="5"/>
    </row>
    <row r="25" spans="1:11" x14ac:dyDescent="0.25">
      <c r="A25" s="7">
        <v>46188</v>
      </c>
      <c r="B25" s="6" t="s">
        <v>29</v>
      </c>
      <c r="C25" s="23">
        <f>'Derived 5Y Spreads'!G25</f>
        <v>69.57</v>
      </c>
      <c r="D25" s="24">
        <f>C25-'Derived 5Y Spreads'!G19</f>
        <v>-0.8600000000000136</v>
      </c>
      <c r="E25" s="24" t="str">
        <f>IFERROR(NA(),"")</f>
        <v/>
      </c>
      <c r="F25" s="24" t="str">
        <f>IFERROR(NA(),"")</f>
        <v/>
      </c>
      <c r="G25" s="25">
        <f>'Derived 5Y Spreads'!E25</f>
      </c>
      <c r="H25" s="21" t="str">
        <f>'Derived 5Y Spreads'!O25</f>
        <v>stale</v>
      </c>
      <c r="I25" s="26" t="str">
        <f>'Derived 5Y Spreads'!A25</f>
        <v>screenshot-reference-20260824-v1</v>
      </c>
      <c r="J25" s="26" t="str">
        <f>'Derived 5Y Spreads'!D25</f>
        <v>SCREENSHOT.METAPL.5Y</v>
      </c>
      <c r="K25" s="9"/>
    </row>
    <row r="26" spans="1:11" x14ac:dyDescent="0.25">
      <c r="A26" s="3">
        <v>46189</v>
      </c>
      <c r="B26" s="2" t="s">
        <v>9</v>
      </c>
      <c r="C26" s="18">
        <f>'Derived 5Y Spreads'!G26</f>
        <v>154.86</v>
      </c>
      <c r="D26" s="19">
        <f>C26-'Derived 5Y Spreads'!G20</f>
        <v>0.8600000000000136</v>
      </c>
      <c r="E26" s="19" t="str">
        <f>IFERROR(NA(),"")</f>
        <v/>
      </c>
      <c r="F26" s="19" t="str">
        <f>IFERROR(NA(),"")</f>
        <v/>
      </c>
      <c r="G26" s="20">
        <f>'Derived 5Y Spreads'!E26</f>
      </c>
      <c r="H26" s="21" t="str">
        <f>'Derived 5Y Spreads'!O26</f>
        <v>stale</v>
      </c>
      <c r="I26" s="22" t="str">
        <f>'Derived 5Y Spreads'!A26</f>
        <v>screenshot-reference-20260824-v1</v>
      </c>
      <c r="J26" s="22" t="str">
        <f>'Derived 5Y Spreads'!D26</f>
        <v>SCREENSHOT.ORCLE.5Y</v>
      </c>
      <c r="K26" s="5"/>
    </row>
    <row r="27" spans="1:11" x14ac:dyDescent="0.25">
      <c r="A27" s="7">
        <v>46189</v>
      </c>
      <c r="B27" s="6" t="s">
        <v>14</v>
      </c>
      <c r="C27" s="23">
        <f>'Derived 5Y Spreads'!G27</f>
        <v>484.29</v>
      </c>
      <c r="D27" s="24">
        <f>C27-'Derived 5Y Spreads'!G21</f>
        <v>-4.279999999999973</v>
      </c>
      <c r="E27" s="24" t="str">
        <f>IFERROR(NA(),"")</f>
        <v/>
      </c>
      <c r="F27" s="24" t="str">
        <f>IFERROR(NA(),"")</f>
        <v/>
      </c>
      <c r="G27" s="25">
        <f>'Derived 5Y Spreads'!E27</f>
      </c>
      <c r="H27" s="21" t="str">
        <f>'Derived 5Y Spreads'!O27</f>
        <v>stale</v>
      </c>
      <c r="I27" s="26" t="str">
        <f>'Derived 5Y Spreads'!A27</f>
        <v>screenshot-reference-20260824-v1</v>
      </c>
      <c r="J27" s="26" t="str">
        <f>'Derived 5Y Spreads'!D27</f>
        <v>SCREENSHOT.COREWEI.5Y</v>
      </c>
      <c r="K27" s="9"/>
    </row>
    <row r="28" spans="1:11" x14ac:dyDescent="0.25">
      <c r="A28" s="3">
        <v>46189</v>
      </c>
      <c r="B28" s="2" t="s">
        <v>20</v>
      </c>
      <c r="C28" s="18">
        <f>'Derived 5Y Spreads'!G28</f>
        <v>50.14</v>
      </c>
      <c r="D28" s="19">
        <f>C28-'Derived 5Y Spreads'!G22</f>
        <v>-0.14999999999999858</v>
      </c>
      <c r="E28" s="19" t="str">
        <f>IFERROR(NA(),"")</f>
        <v/>
      </c>
      <c r="F28" s="19" t="str">
        <f>IFERROR(NA(),"")</f>
        <v/>
      </c>
      <c r="G28" s="20">
        <f>'Derived 5Y Spreads'!E28</f>
      </c>
      <c r="H28" s="21" t="str">
        <f>'Derived 5Y Spreads'!O28</f>
        <v>stale</v>
      </c>
      <c r="I28" s="22" t="str">
        <f>'Derived 5Y Spreads'!A28</f>
        <v>screenshot-reference-20260824-v1</v>
      </c>
      <c r="J28" s="22" t="str">
        <f>'Derived 5Y Spreads'!D28</f>
        <v>SCREENSHOT.AMZN.5Y</v>
      </c>
      <c r="K28" s="5"/>
    </row>
    <row r="29" spans="1:11" x14ac:dyDescent="0.25">
      <c r="A29" s="7">
        <v>46189</v>
      </c>
      <c r="B29" s="6" t="s">
        <v>23</v>
      </c>
      <c r="C29" s="23">
        <f>'Derived 5Y Spreads'!G29</f>
        <v>49.14</v>
      </c>
      <c r="D29" s="24">
        <f>C29-'Derived 5Y Spreads'!G23</f>
        <v>-0.14999999999999858</v>
      </c>
      <c r="E29" s="24" t="str">
        <f>IFERROR(NA(),"")</f>
        <v/>
      </c>
      <c r="F29" s="24" t="str">
        <f>IFERROR(NA(),"")</f>
        <v/>
      </c>
      <c r="G29" s="25">
        <f>'Derived 5Y Spreads'!E29</f>
      </c>
      <c r="H29" s="21" t="str">
        <f>'Derived 5Y Spreads'!O29</f>
        <v>stale</v>
      </c>
      <c r="I29" s="26" t="str">
        <f>'Derived 5Y Spreads'!A29</f>
        <v>screenshot-reference-20260824-v1</v>
      </c>
      <c r="J29" s="26" t="str">
        <f>'Derived 5Y Spreads'!D29</f>
        <v>SCREENSHOT.ALPHINC.5Y</v>
      </c>
      <c r="K29" s="9"/>
    </row>
    <row r="30" spans="1:11" x14ac:dyDescent="0.25">
      <c r="A30" s="3">
        <v>46189</v>
      </c>
      <c r="B30" s="2" t="s">
        <v>26</v>
      </c>
      <c r="C30" s="18">
        <f>'Derived 5Y Spreads'!G30</f>
        <v>38.14</v>
      </c>
      <c r="D30" s="19">
        <f>C30-'Derived 5Y Spreads'!G24</f>
        <v>-0.14999999999999858</v>
      </c>
      <c r="E30" s="19" t="str">
        <f>IFERROR(NA(),"")</f>
        <v/>
      </c>
      <c r="F30" s="19" t="str">
        <f>IFERROR(NA(),"")</f>
        <v/>
      </c>
      <c r="G30" s="20">
        <f>'Derived 5Y Spreads'!E30</f>
      </c>
      <c r="H30" s="21" t="str">
        <f>'Derived 5Y Spreads'!O30</f>
        <v>stale</v>
      </c>
      <c r="I30" s="22" t="str">
        <f>'Derived 5Y Spreads'!A30</f>
        <v>screenshot-reference-20260824-v1</v>
      </c>
      <c r="J30" s="22" t="str">
        <f>'Derived 5Y Spreads'!D30</f>
        <v>SCREENSHOT.MSFT.5Y</v>
      </c>
      <c r="K30" s="5"/>
    </row>
    <row r="31" spans="1:11" x14ac:dyDescent="0.25">
      <c r="A31" s="7">
        <v>46189</v>
      </c>
      <c r="B31" s="6" t="s">
        <v>29</v>
      </c>
      <c r="C31" s="23">
        <f>'Derived 5Y Spreads'!G31</f>
        <v>69.29</v>
      </c>
      <c r="D31" s="24">
        <f>C31-'Derived 5Y Spreads'!G25</f>
        <v>-0.2799999999999869</v>
      </c>
      <c r="E31" s="24" t="str">
        <f>IFERROR(NA(),"")</f>
        <v/>
      </c>
      <c r="F31" s="24" t="str">
        <f>IFERROR(NA(),"")</f>
        <v/>
      </c>
      <c r="G31" s="25">
        <f>'Derived 5Y Spreads'!E31</f>
      </c>
      <c r="H31" s="21" t="str">
        <f>'Derived 5Y Spreads'!O31</f>
        <v>stale</v>
      </c>
      <c r="I31" s="26" t="str">
        <f>'Derived 5Y Spreads'!A31</f>
        <v>screenshot-reference-20260824-v1</v>
      </c>
      <c r="J31" s="26" t="str">
        <f>'Derived 5Y Spreads'!D31</f>
        <v>SCREENSHOT.METAPL.5Y</v>
      </c>
      <c r="K31" s="9"/>
    </row>
    <row r="32" spans="1:11" x14ac:dyDescent="0.25">
      <c r="A32" s="3">
        <v>46190</v>
      </c>
      <c r="B32" s="2" t="s">
        <v>9</v>
      </c>
      <c r="C32" s="18">
        <f>'Derived 5Y Spreads'!G32</f>
        <v>155.71</v>
      </c>
      <c r="D32" s="19">
        <f>C32-'Derived 5Y Spreads'!G26</f>
        <v>0.8499999999999943</v>
      </c>
      <c r="E32" s="19">
        <f>C32-'Derived 5Y Spreads'!G2</f>
        <v>-4.289999999999992</v>
      </c>
      <c r="F32" s="19" t="str">
        <f>IFERROR(NA(),"")</f>
        <v/>
      </c>
      <c r="G32" s="20">
        <f>'Derived 5Y Spreads'!E32</f>
      </c>
      <c r="H32" s="21" t="str">
        <f>'Derived 5Y Spreads'!O32</f>
        <v>stale</v>
      </c>
      <c r="I32" s="22" t="str">
        <f>'Derived 5Y Spreads'!A32</f>
        <v>screenshot-reference-20260824-v1</v>
      </c>
      <c r="J32" s="22" t="str">
        <f>'Derived 5Y Spreads'!D32</f>
        <v>SCREENSHOT.ORCLE.5Y</v>
      </c>
      <c r="K32" s="5"/>
    </row>
    <row r="33" spans="1:11" x14ac:dyDescent="0.25">
      <c r="A33" s="7">
        <v>46190</v>
      </c>
      <c r="B33" s="6" t="s">
        <v>14</v>
      </c>
      <c r="C33" s="23">
        <f>'Derived 5Y Spreads'!G33</f>
        <v>480</v>
      </c>
      <c r="D33" s="24">
        <f>C33-'Derived 5Y Spreads'!G27</f>
        <v>-4.2900000000000205</v>
      </c>
      <c r="E33" s="24">
        <f>C33-'Derived 5Y Spreads'!G3</f>
        <v>-30</v>
      </c>
      <c r="F33" s="24" t="str">
        <f>IFERROR(NA(),"")</f>
        <v/>
      </c>
      <c r="G33" s="25">
        <f>'Derived 5Y Spreads'!E33</f>
      </c>
      <c r="H33" s="21" t="str">
        <f>'Derived 5Y Spreads'!O33</f>
        <v>stale</v>
      </c>
      <c r="I33" s="26" t="str">
        <f>'Derived 5Y Spreads'!A33</f>
        <v>screenshot-reference-20260824-v1</v>
      </c>
      <c r="J33" s="26" t="str">
        <f>'Derived 5Y Spreads'!D33</f>
        <v>SCREENSHOT.COREWEI.5Y</v>
      </c>
      <c r="K33" s="9"/>
    </row>
    <row r="34" spans="1:11" x14ac:dyDescent="0.25">
      <c r="A34" s="3">
        <v>46190</v>
      </c>
      <c r="B34" s="2" t="s">
        <v>20</v>
      </c>
      <c r="C34" s="18">
        <f>'Derived 5Y Spreads'!G34</f>
        <v>50</v>
      </c>
      <c r="D34" s="19">
        <f>C34-'Derived 5Y Spreads'!G28</f>
        <v>-0.14000000000000057</v>
      </c>
      <c r="E34" s="19">
        <f>C34-'Derived 5Y Spreads'!G4</f>
        <v>-1</v>
      </c>
      <c r="F34" s="19" t="str">
        <f>IFERROR(NA(),"")</f>
        <v/>
      </c>
      <c r="G34" s="20">
        <f>'Derived 5Y Spreads'!E34</f>
      </c>
      <c r="H34" s="21" t="str">
        <f>'Derived 5Y Spreads'!O34</f>
        <v>stale</v>
      </c>
      <c r="I34" s="22" t="str">
        <f>'Derived 5Y Spreads'!A34</f>
        <v>screenshot-reference-20260824-v1</v>
      </c>
      <c r="J34" s="22" t="str">
        <f>'Derived 5Y Spreads'!D34</f>
        <v>SCREENSHOT.AMZN.5Y</v>
      </c>
      <c r="K34" s="5"/>
    </row>
    <row r="35" spans="1:11" x14ac:dyDescent="0.25">
      <c r="A35" s="7">
        <v>46190</v>
      </c>
      <c r="B35" s="6" t="s">
        <v>23</v>
      </c>
      <c r="C35" s="23">
        <f>'Derived 5Y Spreads'!G35</f>
        <v>49</v>
      </c>
      <c r="D35" s="24">
        <f>C35-'Derived 5Y Spreads'!G29</f>
        <v>-0.14000000000000057</v>
      </c>
      <c r="E35" s="24">
        <f>C35-'Derived 5Y Spreads'!G5</f>
        <v>-1</v>
      </c>
      <c r="F35" s="24" t="str">
        <f>IFERROR(NA(),"")</f>
        <v/>
      </c>
      <c r="G35" s="25">
        <f>'Derived 5Y Spreads'!E35</f>
      </c>
      <c r="H35" s="21" t="str">
        <f>'Derived 5Y Spreads'!O35</f>
        <v>stale</v>
      </c>
      <c r="I35" s="26" t="str">
        <f>'Derived 5Y Spreads'!A35</f>
        <v>screenshot-reference-20260824-v1</v>
      </c>
      <c r="J35" s="26" t="str">
        <f>'Derived 5Y Spreads'!D35</f>
        <v>SCREENSHOT.ALPHINC.5Y</v>
      </c>
      <c r="K35" s="9"/>
    </row>
    <row r="36" spans="1:11" x14ac:dyDescent="0.25">
      <c r="A36" s="3">
        <v>46190</v>
      </c>
      <c r="B36" s="2" t="s">
        <v>26</v>
      </c>
      <c r="C36" s="18">
        <f>'Derived 5Y Spreads'!G36</f>
        <v>38</v>
      </c>
      <c r="D36" s="19">
        <f>C36-'Derived 5Y Spreads'!G30</f>
        <v>-0.14000000000000057</v>
      </c>
      <c r="E36" s="19">
        <f>C36-'Derived 5Y Spreads'!G6</f>
        <v>-1</v>
      </c>
      <c r="F36" s="19" t="str">
        <f>IFERROR(NA(),"")</f>
        <v/>
      </c>
      <c r="G36" s="20">
        <f>'Derived 5Y Spreads'!E36</f>
      </c>
      <c r="H36" s="21" t="str">
        <f>'Derived 5Y Spreads'!O36</f>
        <v>stale</v>
      </c>
      <c r="I36" s="22" t="str">
        <f>'Derived 5Y Spreads'!A36</f>
        <v>screenshot-reference-20260824-v1</v>
      </c>
      <c r="J36" s="22" t="str">
        <f>'Derived 5Y Spreads'!D36</f>
        <v>SCREENSHOT.MSFT.5Y</v>
      </c>
      <c r="K36" s="5"/>
    </row>
    <row r="37" spans="1:11" x14ac:dyDescent="0.25">
      <c r="A37" s="7">
        <v>46190</v>
      </c>
      <c r="B37" s="6" t="s">
        <v>29</v>
      </c>
      <c r="C37" s="23">
        <f>'Derived 5Y Spreads'!G37</f>
        <v>69</v>
      </c>
      <c r="D37" s="24">
        <f>C37-'Derived 5Y Spreads'!G31</f>
        <v>-0.29000000000000625</v>
      </c>
      <c r="E37" s="24">
        <f>C37-'Derived 5Y Spreads'!G7</f>
        <v>-2</v>
      </c>
      <c r="F37" s="24" t="str">
        <f>IFERROR(NA(),"")</f>
        <v/>
      </c>
      <c r="G37" s="25">
        <f>'Derived 5Y Spreads'!E37</f>
      </c>
      <c r="H37" s="21" t="str">
        <f>'Derived 5Y Spreads'!O37</f>
        <v>stale</v>
      </c>
      <c r="I37" s="26" t="str">
        <f>'Derived 5Y Spreads'!A37</f>
        <v>screenshot-reference-20260824-v1</v>
      </c>
      <c r="J37" s="26" t="str">
        <f>'Derived 5Y Spreads'!D37</f>
        <v>SCREENSHOT.METAPL.5Y</v>
      </c>
      <c r="K37" s="9"/>
    </row>
    <row r="38" spans="1:11" x14ac:dyDescent="0.25">
      <c r="A38" s="3">
        <v>46191</v>
      </c>
      <c r="B38" s="2" t="s">
        <v>9</v>
      </c>
      <c r="C38" s="18">
        <f>'Derived 5Y Spreads'!G38</f>
        <v>156.57</v>
      </c>
      <c r="D38" s="19">
        <f>C38-'Derived 5Y Spreads'!G32</f>
        <v>0.8599999999999852</v>
      </c>
      <c r="E38" s="19">
        <f>C38-'Derived 5Y Spreads'!G8</f>
        <v>-2.230000000000018</v>
      </c>
      <c r="F38" s="19" t="str">
        <f>IFERROR(NA(),"")</f>
        <v/>
      </c>
      <c r="G38" s="20">
        <f>'Derived 5Y Spreads'!E38</f>
      </c>
      <c r="H38" s="21" t="str">
        <f>'Derived 5Y Spreads'!O38</f>
        <v>stale</v>
      </c>
      <c r="I38" s="22" t="str">
        <f>'Derived 5Y Spreads'!A38</f>
        <v>screenshot-reference-20260824-v1</v>
      </c>
      <c r="J38" s="22" t="str">
        <f>'Derived 5Y Spreads'!D38</f>
        <v>SCREENSHOT.ORCLE.5Y</v>
      </c>
      <c r="K38" s="5"/>
    </row>
    <row r="39" spans="1:11" x14ac:dyDescent="0.25">
      <c r="A39" s="7">
        <v>46191</v>
      </c>
      <c r="B39" s="6" t="s">
        <v>14</v>
      </c>
      <c r="C39" s="23">
        <f>'Derived 5Y Spreads'!G39</f>
        <v>490.71</v>
      </c>
      <c r="D39" s="24">
        <f>C39-'Derived 5Y Spreads'!G33</f>
        <v>10.70999999999998</v>
      </c>
      <c r="E39" s="24">
        <f>C39-'Derived 5Y Spreads'!G9</f>
        <v>-15</v>
      </c>
      <c r="F39" s="24" t="str">
        <f>IFERROR(NA(),"")</f>
        <v/>
      </c>
      <c r="G39" s="25">
        <f>'Derived 5Y Spreads'!E39</f>
      </c>
      <c r="H39" s="21" t="str">
        <f>'Derived 5Y Spreads'!O39</f>
        <v>stale</v>
      </c>
      <c r="I39" s="26" t="str">
        <f>'Derived 5Y Spreads'!A39</f>
        <v>screenshot-reference-20260824-v1</v>
      </c>
      <c r="J39" s="26" t="str">
        <f>'Derived 5Y Spreads'!D39</f>
        <v>SCREENSHOT.COREWEI.5Y</v>
      </c>
      <c r="K39" s="9"/>
    </row>
    <row r="40" spans="1:11" x14ac:dyDescent="0.25">
      <c r="A40" s="3">
        <v>46191</v>
      </c>
      <c r="B40" s="2" t="s">
        <v>20</v>
      </c>
      <c r="C40" s="18">
        <f>'Derived 5Y Spreads'!G40</f>
        <v>50.57</v>
      </c>
      <c r="D40" s="19">
        <f>C40-'Derived 5Y Spreads'!G34</f>
        <v>0.5700000000000003</v>
      </c>
      <c r="E40" s="19">
        <f>C40-'Derived 5Y Spreads'!G10</f>
        <v>-0.28999999999999915</v>
      </c>
      <c r="F40" s="19" t="str">
        <f>IFERROR(NA(),"")</f>
        <v/>
      </c>
      <c r="G40" s="20">
        <f>'Derived 5Y Spreads'!E40</f>
      </c>
      <c r="H40" s="21" t="str">
        <f>'Derived 5Y Spreads'!O40</f>
        <v>stale</v>
      </c>
      <c r="I40" s="22" t="str">
        <f>'Derived 5Y Spreads'!A40</f>
        <v>screenshot-reference-20260824-v1</v>
      </c>
      <c r="J40" s="22" t="str">
        <f>'Derived 5Y Spreads'!D40</f>
        <v>SCREENSHOT.AMZN.5Y</v>
      </c>
      <c r="K40" s="5"/>
    </row>
    <row r="41" spans="1:11" x14ac:dyDescent="0.25">
      <c r="A41" s="7">
        <v>46191</v>
      </c>
      <c r="B41" s="6" t="s">
        <v>23</v>
      </c>
      <c r="C41" s="23">
        <f>'Derived 5Y Spreads'!G41</f>
        <v>49.43</v>
      </c>
      <c r="D41" s="24">
        <f>C41-'Derived 5Y Spreads'!G35</f>
        <v>0.4299999999999997</v>
      </c>
      <c r="E41" s="24">
        <f>C41-'Derived 5Y Spreads'!G11</f>
        <v>-0.4299999999999997</v>
      </c>
      <c r="F41" s="24" t="str">
        <f>IFERROR(NA(),"")</f>
        <v/>
      </c>
      <c r="G41" s="25">
        <f>'Derived 5Y Spreads'!E41</f>
      </c>
      <c r="H41" s="21" t="str">
        <f>'Derived 5Y Spreads'!O41</f>
        <v>stale</v>
      </c>
      <c r="I41" s="26" t="str">
        <f>'Derived 5Y Spreads'!A41</f>
        <v>screenshot-reference-20260824-v1</v>
      </c>
      <c r="J41" s="26" t="str">
        <f>'Derived 5Y Spreads'!D41</f>
        <v>SCREENSHOT.ALPHINC.5Y</v>
      </c>
      <c r="K41" s="9"/>
    </row>
    <row r="42" spans="1:11" x14ac:dyDescent="0.25">
      <c r="A42" s="3">
        <v>46191</v>
      </c>
      <c r="B42" s="2" t="s">
        <v>26</v>
      </c>
      <c r="C42" s="18">
        <f>'Derived 5Y Spreads'!G42</f>
        <v>38.29</v>
      </c>
      <c r="D42" s="19">
        <f>C42-'Derived 5Y Spreads'!G36</f>
        <v>0.28999999999999915</v>
      </c>
      <c r="E42" s="19">
        <f>C42-'Derived 5Y Spreads'!G12</f>
        <v>-0.5700000000000003</v>
      </c>
      <c r="F42" s="19" t="str">
        <f>IFERROR(NA(),"")</f>
        <v/>
      </c>
      <c r="G42" s="20">
        <f>'Derived 5Y Spreads'!E42</f>
      </c>
      <c r="H42" s="21" t="str">
        <f>'Derived 5Y Spreads'!O42</f>
        <v>stale</v>
      </c>
      <c r="I42" s="22" t="str">
        <f>'Derived 5Y Spreads'!A42</f>
        <v>screenshot-reference-20260824-v1</v>
      </c>
      <c r="J42" s="22" t="str">
        <f>'Derived 5Y Spreads'!D42</f>
        <v>SCREENSHOT.MSFT.5Y</v>
      </c>
      <c r="K42" s="5"/>
    </row>
    <row r="43" spans="1:11" x14ac:dyDescent="0.25">
      <c r="A43" s="7">
        <v>46191</v>
      </c>
      <c r="B43" s="6" t="s">
        <v>29</v>
      </c>
      <c r="C43" s="23">
        <f>'Derived 5Y Spreads'!G43</f>
        <v>69.29</v>
      </c>
      <c r="D43" s="24">
        <f>C43-'Derived 5Y Spreads'!G37</f>
        <v>0.29000000000000625</v>
      </c>
      <c r="E43" s="24">
        <f>C43-'Derived 5Y Spreads'!G13</f>
        <v>-1.4199999999999875</v>
      </c>
      <c r="F43" s="24" t="str">
        <f>IFERROR(NA(),"")</f>
        <v/>
      </c>
      <c r="G43" s="25">
        <f>'Derived 5Y Spreads'!E43</f>
      </c>
      <c r="H43" s="21" t="str">
        <f>'Derived 5Y Spreads'!O43</f>
        <v>stale</v>
      </c>
      <c r="I43" s="26" t="str">
        <f>'Derived 5Y Spreads'!A43</f>
        <v>screenshot-reference-20260824-v1</v>
      </c>
      <c r="J43" s="26" t="str">
        <f>'Derived 5Y Spreads'!D43</f>
        <v>SCREENSHOT.METAPL.5Y</v>
      </c>
      <c r="K43" s="9"/>
    </row>
    <row r="44" spans="1:11" x14ac:dyDescent="0.25">
      <c r="A44" s="3">
        <v>46192</v>
      </c>
      <c r="B44" s="2" t="s">
        <v>9</v>
      </c>
      <c r="C44" s="18">
        <f>'Derived 5Y Spreads'!G44</f>
        <v>157.43</v>
      </c>
      <c r="D44" s="19">
        <f>C44-'Derived 5Y Spreads'!G38</f>
        <v>0.8600000000000136</v>
      </c>
      <c r="E44" s="19">
        <f>C44-'Derived 5Y Spreads'!G14</f>
        <v>-0.1699999999999875</v>
      </c>
      <c r="F44" s="19" t="str">
        <f>IFERROR(NA(),"")</f>
        <v/>
      </c>
      <c r="G44" s="20">
        <f>'Derived 5Y Spreads'!E44</f>
      </c>
      <c r="H44" s="21" t="str">
        <f>'Derived 5Y Spreads'!O44</f>
        <v>stale</v>
      </c>
      <c r="I44" s="22" t="str">
        <f>'Derived 5Y Spreads'!A44</f>
        <v>screenshot-reference-20260824-v1</v>
      </c>
      <c r="J44" s="22" t="str">
        <f>'Derived 5Y Spreads'!D44</f>
        <v>SCREENSHOT.ORCLE.5Y</v>
      </c>
      <c r="K44" s="5"/>
    </row>
    <row r="45" spans="1:11" x14ac:dyDescent="0.25">
      <c r="A45" s="7">
        <v>46192</v>
      </c>
      <c r="B45" s="6" t="s">
        <v>14</v>
      </c>
      <c r="C45" s="23">
        <f>'Derived 5Y Spreads'!G45</f>
        <v>501.43</v>
      </c>
      <c r="D45" s="24">
        <f>C45-'Derived 5Y Spreads'!G39</f>
        <v>10.720000000000027</v>
      </c>
      <c r="E45" s="24">
        <f>C45-'Derived 5Y Spreads'!G15</f>
        <v>0</v>
      </c>
      <c r="F45" s="24" t="str">
        <f>IFERROR(NA(),"")</f>
        <v/>
      </c>
      <c r="G45" s="25">
        <f>'Derived 5Y Spreads'!E45</f>
      </c>
      <c r="H45" s="21" t="str">
        <f>'Derived 5Y Spreads'!O45</f>
        <v>stale</v>
      </c>
      <c r="I45" s="26" t="str">
        <f>'Derived 5Y Spreads'!A45</f>
        <v>screenshot-reference-20260824-v1</v>
      </c>
      <c r="J45" s="26" t="str">
        <f>'Derived 5Y Spreads'!D45</f>
        <v>SCREENSHOT.COREWEI.5Y</v>
      </c>
      <c r="K45" s="9"/>
    </row>
    <row r="46" spans="1:11" x14ac:dyDescent="0.25">
      <c r="A46" s="3">
        <v>46192</v>
      </c>
      <c r="B46" s="2" t="s">
        <v>20</v>
      </c>
      <c r="C46" s="18">
        <f>'Derived 5Y Spreads'!G46</f>
        <v>51.14</v>
      </c>
      <c r="D46" s="19">
        <f>C46-'Derived 5Y Spreads'!G40</f>
        <v>0.5700000000000003</v>
      </c>
      <c r="E46" s="19">
        <f>C46-'Derived 5Y Spreads'!G16</f>
        <v>0.4299999999999997</v>
      </c>
      <c r="F46" s="19" t="str">
        <f>IFERROR(NA(),"")</f>
        <v/>
      </c>
      <c r="G46" s="20">
        <f>'Derived 5Y Spreads'!E46</f>
      </c>
      <c r="H46" s="21" t="str">
        <f>'Derived 5Y Spreads'!O46</f>
        <v>stale</v>
      </c>
      <c r="I46" s="22" t="str">
        <f>'Derived 5Y Spreads'!A46</f>
        <v>screenshot-reference-20260824-v1</v>
      </c>
      <c r="J46" s="22" t="str">
        <f>'Derived 5Y Spreads'!D46</f>
        <v>SCREENSHOT.AMZN.5Y</v>
      </c>
      <c r="K46" s="5"/>
    </row>
    <row r="47" spans="1:11" x14ac:dyDescent="0.25">
      <c r="A47" s="7">
        <v>46192</v>
      </c>
      <c r="B47" s="6" t="s">
        <v>23</v>
      </c>
      <c r="C47" s="23">
        <f>'Derived 5Y Spreads'!G47</f>
        <v>49.86</v>
      </c>
      <c r="D47" s="24">
        <f>C47-'Derived 5Y Spreads'!G41</f>
        <v>0.4299999999999997</v>
      </c>
      <c r="E47" s="24">
        <f>C47-'Derived 5Y Spreads'!G17</f>
        <v>0.14999999999999858</v>
      </c>
      <c r="F47" s="24" t="str">
        <f>IFERROR(NA(),"")</f>
        <v/>
      </c>
      <c r="G47" s="25">
        <f>'Derived 5Y Spreads'!E47</f>
      </c>
      <c r="H47" s="21" t="str">
        <f>'Derived 5Y Spreads'!O47</f>
        <v>stale</v>
      </c>
      <c r="I47" s="26" t="str">
        <f>'Derived 5Y Spreads'!A47</f>
        <v>screenshot-reference-20260824-v1</v>
      </c>
      <c r="J47" s="26" t="str">
        <f>'Derived 5Y Spreads'!D47</f>
        <v>SCREENSHOT.ALPHINC.5Y</v>
      </c>
      <c r="K47" s="9"/>
    </row>
    <row r="48" spans="1:11" x14ac:dyDescent="0.25">
      <c r="A48" s="3">
        <v>46192</v>
      </c>
      <c r="B48" s="2" t="s">
        <v>26</v>
      </c>
      <c r="C48" s="18">
        <f>'Derived 5Y Spreads'!G48</f>
        <v>38.57</v>
      </c>
      <c r="D48" s="19">
        <f>C48-'Derived 5Y Spreads'!G42</f>
        <v>0.28000000000000114</v>
      </c>
      <c r="E48" s="19">
        <f>C48-'Derived 5Y Spreads'!G18</f>
        <v>-0.14000000000000057</v>
      </c>
      <c r="F48" s="19" t="str">
        <f>IFERROR(NA(),"")</f>
        <v/>
      </c>
      <c r="G48" s="20">
        <f>'Derived 5Y Spreads'!E48</f>
      </c>
      <c r="H48" s="21" t="str">
        <f>'Derived 5Y Spreads'!O48</f>
        <v>stale</v>
      </c>
      <c r="I48" s="22" t="str">
        <f>'Derived 5Y Spreads'!A48</f>
        <v>screenshot-reference-20260824-v1</v>
      </c>
      <c r="J48" s="22" t="str">
        <f>'Derived 5Y Spreads'!D48</f>
        <v>SCREENSHOT.MSFT.5Y</v>
      </c>
      <c r="K48" s="5"/>
    </row>
    <row r="49" spans="1:11" x14ac:dyDescent="0.25">
      <c r="A49" s="7">
        <v>46192</v>
      </c>
      <c r="B49" s="6" t="s">
        <v>29</v>
      </c>
      <c r="C49" s="23">
        <f>'Derived 5Y Spreads'!G49</f>
        <v>69.57</v>
      </c>
      <c r="D49" s="24">
        <f>C49-'Derived 5Y Spreads'!G43</f>
        <v>0.2799999999999869</v>
      </c>
      <c r="E49" s="24">
        <f>C49-'Derived 5Y Spreads'!G19</f>
        <v>-0.8600000000000136</v>
      </c>
      <c r="F49" s="24" t="str">
        <f>IFERROR(NA(),"")</f>
        <v/>
      </c>
      <c r="G49" s="25">
        <f>'Derived 5Y Spreads'!E49</f>
      </c>
      <c r="H49" s="21" t="str">
        <f>'Derived 5Y Spreads'!O49</f>
        <v>stale</v>
      </c>
      <c r="I49" s="26" t="str">
        <f>'Derived 5Y Spreads'!A49</f>
        <v>screenshot-reference-20260824-v1</v>
      </c>
      <c r="J49" s="26" t="str">
        <f>'Derived 5Y Spreads'!D49</f>
        <v>SCREENSHOT.METAPL.5Y</v>
      </c>
      <c r="K49" s="9"/>
    </row>
    <row r="50" spans="1:11" x14ac:dyDescent="0.25">
      <c r="A50" s="3">
        <v>46195</v>
      </c>
      <c r="B50" s="2" t="s">
        <v>9</v>
      </c>
      <c r="C50" s="18">
        <f>'Derived 5Y Spreads'!G50</f>
        <v>160</v>
      </c>
      <c r="D50" s="19">
        <f>C50-'Derived 5Y Spreads'!G44</f>
        <v>2.569999999999993</v>
      </c>
      <c r="E50" s="19">
        <f>C50-'Derived 5Y Spreads'!G20</f>
        <v>6</v>
      </c>
      <c r="F50" s="19" t="str">
        <f>IFERROR(NA(),"")</f>
        <v/>
      </c>
      <c r="G50" s="20">
        <f>'Derived 5Y Spreads'!E50</f>
      </c>
      <c r="H50" s="21" t="str">
        <f>'Derived 5Y Spreads'!O50</f>
        <v>stale</v>
      </c>
      <c r="I50" s="22" t="str">
        <f>'Derived 5Y Spreads'!A50</f>
        <v>screenshot-reference-20260824-v1</v>
      </c>
      <c r="J50" s="22" t="str">
        <f>'Derived 5Y Spreads'!D50</f>
        <v>SCREENSHOT.ORCLE.5Y</v>
      </c>
      <c r="K50" s="5"/>
    </row>
    <row r="51" spans="1:11" x14ac:dyDescent="0.25">
      <c r="A51" s="7">
        <v>46195</v>
      </c>
      <c r="B51" s="6" t="s">
        <v>14</v>
      </c>
      <c r="C51" s="23">
        <f>'Derived 5Y Spreads'!G51</f>
        <v>533.57</v>
      </c>
      <c r="D51" s="24">
        <f>C51-'Derived 5Y Spreads'!G45</f>
        <v>32.14000000000004</v>
      </c>
      <c r="E51" s="24">
        <f>C51-'Derived 5Y Spreads'!G21</f>
        <v>45.00000000000006</v>
      </c>
      <c r="F51" s="24" t="str">
        <f>IFERROR(NA(),"")</f>
        <v/>
      </c>
      <c r="G51" s="25">
        <f>'Derived 5Y Spreads'!E51</f>
      </c>
      <c r="H51" s="21" t="str">
        <f>'Derived 5Y Spreads'!O51</f>
        <v>stale</v>
      </c>
      <c r="I51" s="26" t="str">
        <f>'Derived 5Y Spreads'!A51</f>
        <v>screenshot-reference-20260824-v1</v>
      </c>
      <c r="J51" s="26" t="str">
        <f>'Derived 5Y Spreads'!D51</f>
        <v>SCREENSHOT.COREWEI.5Y</v>
      </c>
      <c r="K51" s="9"/>
    </row>
    <row r="52" spans="1:11" x14ac:dyDescent="0.25">
      <c r="A52" s="3">
        <v>46195</v>
      </c>
      <c r="B52" s="2" t="s">
        <v>17</v>
      </c>
      <c r="C52" s="18">
        <f>'Derived 5Y Spreads'!G52</f>
        <v>40</v>
      </c>
      <c r="D52" s="19" t="str">
        <f>IFERROR(NA(),"")</f>
        <v/>
      </c>
      <c r="E52" s="19" t="str">
        <f>IFERROR(NA(),"")</f>
        <v/>
      </c>
      <c r="F52" s="19" t="str">
        <f>IFERROR(NA(),"")</f>
        <v/>
      </c>
      <c r="G52" s="20">
        <f>'Derived 5Y Spreads'!E52</f>
      </c>
      <c r="H52" s="21" t="str">
        <f>'Derived 5Y Spreads'!O52</f>
        <v>stale</v>
      </c>
      <c r="I52" s="22" t="str">
        <f>'Derived 5Y Spreads'!A52</f>
        <v>screenshot-reference-20260824-v1</v>
      </c>
      <c r="J52" s="22" t="str">
        <f>'Derived 5Y Spreads'!D52</f>
        <v>SCREENSHOT.NVIDIA.5Y</v>
      </c>
      <c r="K52" s="5"/>
    </row>
    <row r="53" spans="1:11" x14ac:dyDescent="0.25">
      <c r="A53" s="7">
        <v>46195</v>
      </c>
      <c r="B53" s="6" t="s">
        <v>20</v>
      </c>
      <c r="C53" s="23">
        <f>'Derived 5Y Spreads'!G53</f>
        <v>52.86</v>
      </c>
      <c r="D53" s="24">
        <f>C53-'Derived 5Y Spreads'!G46</f>
        <v>1.7199999999999989</v>
      </c>
      <c r="E53" s="24">
        <f>C53-'Derived 5Y Spreads'!G22</f>
        <v>2.5700000000000003</v>
      </c>
      <c r="F53" s="24" t="str">
        <f>IFERROR(NA(),"")</f>
        <v/>
      </c>
      <c r="G53" s="25">
        <f>'Derived 5Y Spreads'!E53</f>
      </c>
      <c r="H53" s="21" t="str">
        <f>'Derived 5Y Spreads'!O53</f>
        <v>stale</v>
      </c>
      <c r="I53" s="26" t="str">
        <f>'Derived 5Y Spreads'!A53</f>
        <v>screenshot-reference-20260824-v1</v>
      </c>
      <c r="J53" s="26" t="str">
        <f>'Derived 5Y Spreads'!D53</f>
        <v>SCREENSHOT.AMZN.5Y</v>
      </c>
      <c r="K53" s="9"/>
    </row>
    <row r="54" spans="1:11" x14ac:dyDescent="0.25">
      <c r="A54" s="3">
        <v>46195</v>
      </c>
      <c r="B54" s="2" t="s">
        <v>23</v>
      </c>
      <c r="C54" s="18">
        <f>'Derived 5Y Spreads'!G54</f>
        <v>51.14</v>
      </c>
      <c r="D54" s="19">
        <f>C54-'Derived 5Y Spreads'!G47</f>
        <v>1.2800000000000011</v>
      </c>
      <c r="E54" s="19">
        <f>C54-'Derived 5Y Spreads'!G23</f>
        <v>1.8500000000000014</v>
      </c>
      <c r="F54" s="19" t="str">
        <f>IFERROR(NA(),"")</f>
        <v/>
      </c>
      <c r="G54" s="20">
        <f>'Derived 5Y Spreads'!E54</f>
      </c>
      <c r="H54" s="21" t="str">
        <f>'Derived 5Y Spreads'!O54</f>
        <v>stale</v>
      </c>
      <c r="I54" s="22" t="str">
        <f>'Derived 5Y Spreads'!A54</f>
        <v>screenshot-reference-20260824-v1</v>
      </c>
      <c r="J54" s="22" t="str">
        <f>'Derived 5Y Spreads'!D54</f>
        <v>SCREENSHOT.ALPHINC.5Y</v>
      </c>
      <c r="K54" s="5"/>
    </row>
    <row r="55" spans="1:11" x14ac:dyDescent="0.25">
      <c r="A55" s="7">
        <v>46195</v>
      </c>
      <c r="B55" s="6" t="s">
        <v>26</v>
      </c>
      <c r="C55" s="23">
        <f>'Derived 5Y Spreads'!G55</f>
        <v>39.43</v>
      </c>
      <c r="D55" s="24">
        <f>C55-'Derived 5Y Spreads'!G48</f>
        <v>0.8599999999999994</v>
      </c>
      <c r="E55" s="24">
        <f>C55-'Derived 5Y Spreads'!G24</f>
        <v>1.1400000000000006</v>
      </c>
      <c r="F55" s="24" t="str">
        <f>IFERROR(NA(),"")</f>
        <v/>
      </c>
      <c r="G55" s="25">
        <f>'Derived 5Y Spreads'!E55</f>
      </c>
      <c r="H55" s="21" t="str">
        <f>'Derived 5Y Spreads'!O55</f>
        <v>stale</v>
      </c>
      <c r="I55" s="26" t="str">
        <f>'Derived 5Y Spreads'!A55</f>
        <v>screenshot-reference-20260824-v1</v>
      </c>
      <c r="J55" s="26" t="str">
        <f>'Derived 5Y Spreads'!D55</f>
        <v>SCREENSHOT.MSFT.5Y</v>
      </c>
      <c r="K55" s="9"/>
    </row>
    <row r="56" spans="1:11" x14ac:dyDescent="0.25">
      <c r="A56" s="3">
        <v>46195</v>
      </c>
      <c r="B56" s="2" t="s">
        <v>29</v>
      </c>
      <c r="C56" s="18">
        <f>'Derived 5Y Spreads'!G56</f>
        <v>70.43</v>
      </c>
      <c r="D56" s="19">
        <f>C56-'Derived 5Y Spreads'!G49</f>
        <v>0.8600000000000136</v>
      </c>
      <c r="E56" s="19">
        <f>C56-'Derived 5Y Spreads'!G25</f>
        <v>0.8600000000000136</v>
      </c>
      <c r="F56" s="19" t="str">
        <f>IFERROR(NA(),"")</f>
        <v/>
      </c>
      <c r="G56" s="20">
        <f>'Derived 5Y Spreads'!E56</f>
      </c>
      <c r="H56" s="21" t="str">
        <f>'Derived 5Y Spreads'!O56</f>
        <v>stale</v>
      </c>
      <c r="I56" s="22" t="str">
        <f>'Derived 5Y Spreads'!A56</f>
        <v>screenshot-reference-20260824-v1</v>
      </c>
      <c r="J56" s="22" t="str">
        <f>'Derived 5Y Spreads'!D56</f>
        <v>SCREENSHOT.METAPL.5Y</v>
      </c>
      <c r="K56" s="5"/>
    </row>
    <row r="57" spans="1:11" x14ac:dyDescent="0.25">
      <c r="A57" s="7">
        <v>46196</v>
      </c>
      <c r="B57" s="6" t="s">
        <v>9</v>
      </c>
      <c r="C57" s="23">
        <f>'Derived 5Y Spreads'!G57</f>
        <v>161.57</v>
      </c>
      <c r="D57" s="24">
        <f>C57-'Derived 5Y Spreads'!G50</f>
        <v>1.5699999999999932</v>
      </c>
      <c r="E57" s="24">
        <f>C57-'Derived 5Y Spreads'!G26</f>
        <v>6.7099999999999795</v>
      </c>
      <c r="F57" s="24" t="str">
        <f>IFERROR(NA(),"")</f>
        <v/>
      </c>
      <c r="G57" s="25">
        <f>'Derived 5Y Spreads'!E57</f>
      </c>
      <c r="H57" s="21" t="str">
        <f>'Derived 5Y Spreads'!O57</f>
        <v>stale</v>
      </c>
      <c r="I57" s="26" t="str">
        <f>'Derived 5Y Spreads'!A57</f>
        <v>screenshot-reference-20260824-v1</v>
      </c>
      <c r="J57" s="26" t="str">
        <f>'Derived 5Y Spreads'!D57</f>
        <v>SCREENSHOT.ORCLE.5Y</v>
      </c>
      <c r="K57" s="9"/>
    </row>
    <row r="58" spans="1:11" x14ac:dyDescent="0.25">
      <c r="A58" s="3">
        <v>46196</v>
      </c>
      <c r="B58" s="2" t="s">
        <v>14</v>
      </c>
      <c r="C58" s="18">
        <f>'Derived 5Y Spreads'!G58</f>
        <v>544.29</v>
      </c>
      <c r="D58" s="19">
        <f>C58-'Derived 5Y Spreads'!G51</f>
        <v>10.719999999999914</v>
      </c>
      <c r="E58" s="19">
        <f>C58-'Derived 5Y Spreads'!G27</f>
        <v>59.99999999999994</v>
      </c>
      <c r="F58" s="19" t="str">
        <f>IFERROR(NA(),"")</f>
        <v/>
      </c>
      <c r="G58" s="20">
        <f>'Derived 5Y Spreads'!E58</f>
      </c>
      <c r="H58" s="21" t="str">
        <f>'Derived 5Y Spreads'!O58</f>
        <v>stale</v>
      </c>
      <c r="I58" s="22" t="str">
        <f>'Derived 5Y Spreads'!A58</f>
        <v>screenshot-reference-20260824-v1</v>
      </c>
      <c r="J58" s="22" t="str">
        <f>'Derived 5Y Spreads'!D58</f>
        <v>SCREENSHOT.COREWEI.5Y</v>
      </c>
      <c r="K58" s="5"/>
    </row>
    <row r="59" spans="1:11" x14ac:dyDescent="0.25">
      <c r="A59" s="7">
        <v>46196</v>
      </c>
      <c r="B59" s="6" t="s">
        <v>17</v>
      </c>
      <c r="C59" s="23">
        <f>'Derived 5Y Spreads'!G59</f>
        <v>40.86</v>
      </c>
      <c r="D59" s="24">
        <f>C59-'Derived 5Y Spreads'!G52</f>
        <v>0.8599999999999994</v>
      </c>
      <c r="E59" s="24" t="str">
        <f>IFERROR(NA(),"")</f>
        <v/>
      </c>
      <c r="F59" s="24" t="str">
        <f>IFERROR(NA(),"")</f>
        <v/>
      </c>
      <c r="G59" s="25">
        <f>'Derived 5Y Spreads'!E59</f>
      </c>
      <c r="H59" s="21" t="str">
        <f>'Derived 5Y Spreads'!O59</f>
        <v>stale</v>
      </c>
      <c r="I59" s="26" t="str">
        <f>'Derived 5Y Spreads'!A59</f>
        <v>screenshot-reference-20260824-v1</v>
      </c>
      <c r="J59" s="26" t="str">
        <f>'Derived 5Y Spreads'!D59</f>
        <v>SCREENSHOT.NVIDIA.5Y</v>
      </c>
      <c r="K59" s="9"/>
    </row>
    <row r="60" spans="1:11" x14ac:dyDescent="0.25">
      <c r="A60" s="3">
        <v>46196</v>
      </c>
      <c r="B60" s="2" t="s">
        <v>20</v>
      </c>
      <c r="C60" s="18">
        <f>'Derived 5Y Spreads'!G60</f>
        <v>53.43</v>
      </c>
      <c r="D60" s="19">
        <f>C60-'Derived 5Y Spreads'!G53</f>
        <v>0.5700000000000003</v>
      </c>
      <c r="E60" s="19">
        <f>C60-'Derived 5Y Spreads'!G28</f>
        <v>3.289999999999999</v>
      </c>
      <c r="F60" s="19" t="str">
        <f>IFERROR(NA(),"")</f>
        <v/>
      </c>
      <c r="G60" s="20">
        <f>'Derived 5Y Spreads'!E60</f>
      </c>
      <c r="H60" s="21" t="str">
        <f>'Derived 5Y Spreads'!O60</f>
        <v>stale</v>
      </c>
      <c r="I60" s="22" t="str">
        <f>'Derived 5Y Spreads'!A60</f>
        <v>screenshot-reference-20260824-v1</v>
      </c>
      <c r="J60" s="22" t="str">
        <f>'Derived 5Y Spreads'!D60</f>
        <v>SCREENSHOT.AMZN.5Y</v>
      </c>
      <c r="K60" s="5"/>
    </row>
    <row r="61" spans="1:11" x14ac:dyDescent="0.25">
      <c r="A61" s="7">
        <v>46196</v>
      </c>
      <c r="B61" s="6" t="s">
        <v>23</v>
      </c>
      <c r="C61" s="23">
        <f>'Derived 5Y Spreads'!G61</f>
        <v>51.57</v>
      </c>
      <c r="D61" s="24">
        <f>C61-'Derived 5Y Spreads'!G54</f>
        <v>0.4299999999999997</v>
      </c>
      <c r="E61" s="24">
        <f>C61-'Derived 5Y Spreads'!G29</f>
        <v>2.4299999999999997</v>
      </c>
      <c r="F61" s="24" t="str">
        <f>IFERROR(NA(),"")</f>
        <v/>
      </c>
      <c r="G61" s="25">
        <f>'Derived 5Y Spreads'!E61</f>
      </c>
      <c r="H61" s="21" t="str">
        <f>'Derived 5Y Spreads'!O61</f>
        <v>stale</v>
      </c>
      <c r="I61" s="26" t="str">
        <f>'Derived 5Y Spreads'!A61</f>
        <v>screenshot-reference-20260824-v1</v>
      </c>
      <c r="J61" s="26" t="str">
        <f>'Derived 5Y Spreads'!D61</f>
        <v>SCREENSHOT.ALPHINC.5Y</v>
      </c>
      <c r="K61" s="9"/>
    </row>
    <row r="62" spans="1:11" x14ac:dyDescent="0.25">
      <c r="A62" s="3">
        <v>46196</v>
      </c>
      <c r="B62" s="2" t="s">
        <v>26</v>
      </c>
      <c r="C62" s="18">
        <f>'Derived 5Y Spreads'!G62</f>
        <v>39.71</v>
      </c>
      <c r="D62" s="19">
        <f>C62-'Derived 5Y Spreads'!G55</f>
        <v>0.28000000000000114</v>
      </c>
      <c r="E62" s="19">
        <f>C62-'Derived 5Y Spreads'!G30</f>
        <v>1.5700000000000003</v>
      </c>
      <c r="F62" s="19" t="str">
        <f>IFERROR(NA(),"")</f>
        <v/>
      </c>
      <c r="G62" s="20">
        <f>'Derived 5Y Spreads'!E62</f>
      </c>
      <c r="H62" s="21" t="str">
        <f>'Derived 5Y Spreads'!O62</f>
        <v>stale</v>
      </c>
      <c r="I62" s="22" t="str">
        <f>'Derived 5Y Spreads'!A62</f>
        <v>screenshot-reference-20260824-v1</v>
      </c>
      <c r="J62" s="22" t="str">
        <f>'Derived 5Y Spreads'!D62</f>
        <v>SCREENSHOT.MSFT.5Y</v>
      </c>
      <c r="K62" s="5"/>
    </row>
    <row r="63" spans="1:11" x14ac:dyDescent="0.25">
      <c r="A63" s="7">
        <v>46196</v>
      </c>
      <c r="B63" s="6" t="s">
        <v>29</v>
      </c>
      <c r="C63" s="23">
        <f>'Derived 5Y Spreads'!G63</f>
        <v>70.71</v>
      </c>
      <c r="D63" s="24">
        <f>C63-'Derived 5Y Spreads'!G56</f>
        <v>0.2799999999999869</v>
      </c>
      <c r="E63" s="24">
        <f>C63-'Derived 5Y Spreads'!G31</f>
        <v>1.4199999999999875</v>
      </c>
      <c r="F63" s="24" t="str">
        <f>IFERROR(NA(),"")</f>
        <v/>
      </c>
      <c r="G63" s="25">
        <f>'Derived 5Y Spreads'!E63</f>
      </c>
      <c r="H63" s="21" t="str">
        <f>'Derived 5Y Spreads'!O63</f>
        <v>stale</v>
      </c>
      <c r="I63" s="26" t="str">
        <f>'Derived 5Y Spreads'!A63</f>
        <v>screenshot-reference-20260824-v1</v>
      </c>
      <c r="J63" s="26" t="str">
        <f>'Derived 5Y Spreads'!D63</f>
        <v>SCREENSHOT.METAPL.5Y</v>
      </c>
      <c r="K63" s="9"/>
    </row>
    <row r="64" spans="1:11" x14ac:dyDescent="0.25">
      <c r="A64" s="3">
        <v>46197</v>
      </c>
      <c r="B64" s="2" t="s">
        <v>9</v>
      </c>
      <c r="C64" s="18">
        <f>'Derived 5Y Spreads'!G64</f>
        <v>163.14</v>
      </c>
      <c r="D64" s="19">
        <f>C64-'Derived 5Y Spreads'!G57</f>
        <v>1.5699999999999932</v>
      </c>
      <c r="E64" s="19">
        <f>C64-'Derived 5Y Spreads'!G32</f>
        <v>7.429999999999978</v>
      </c>
      <c r="F64" s="19" t="str">
        <f>IFERROR(NA(),"")</f>
        <v/>
      </c>
      <c r="G64" s="20">
        <f>'Derived 5Y Spreads'!E64</f>
      </c>
      <c r="H64" s="21" t="str">
        <f>'Derived 5Y Spreads'!O64</f>
        <v>stale</v>
      </c>
      <c r="I64" s="22" t="str">
        <f>'Derived 5Y Spreads'!A64</f>
        <v>screenshot-reference-20260824-v1</v>
      </c>
      <c r="J64" s="22" t="str">
        <f>'Derived 5Y Spreads'!D64</f>
        <v>SCREENSHOT.ORCLE.5Y</v>
      </c>
      <c r="K64" s="5"/>
    </row>
    <row r="65" spans="1:11" x14ac:dyDescent="0.25">
      <c r="A65" s="7">
        <v>46197</v>
      </c>
      <c r="B65" s="6" t="s">
        <v>14</v>
      </c>
      <c r="C65" s="23">
        <f>'Derived 5Y Spreads'!G65</f>
        <v>555</v>
      </c>
      <c r="D65" s="24">
        <f>C65-'Derived 5Y Spreads'!G58</f>
        <v>10.710000000000036</v>
      </c>
      <c r="E65" s="24">
        <f>C65-'Derived 5Y Spreads'!G33</f>
        <v>75</v>
      </c>
      <c r="F65" s="24" t="str">
        <f>IFERROR(NA(),"")</f>
        <v/>
      </c>
      <c r="G65" s="25">
        <f>'Derived 5Y Spreads'!E65</f>
      </c>
      <c r="H65" s="21" t="str">
        <f>'Derived 5Y Spreads'!O65</f>
        <v>stale</v>
      </c>
      <c r="I65" s="26" t="str">
        <f>'Derived 5Y Spreads'!A65</f>
        <v>screenshot-reference-20260824-v1</v>
      </c>
      <c r="J65" s="26" t="str">
        <f>'Derived 5Y Spreads'!D65</f>
        <v>SCREENSHOT.COREWEI.5Y</v>
      </c>
      <c r="K65" s="9"/>
    </row>
    <row r="66" spans="1:11" x14ac:dyDescent="0.25">
      <c r="A66" s="3">
        <v>46197</v>
      </c>
      <c r="B66" s="2" t="s">
        <v>17</v>
      </c>
      <c r="C66" s="18">
        <f>'Derived 5Y Spreads'!G66</f>
        <v>41.71</v>
      </c>
      <c r="D66" s="19">
        <f>C66-'Derived 5Y Spreads'!G59</f>
        <v>0.8500000000000014</v>
      </c>
      <c r="E66" s="19" t="str">
        <f>IFERROR(NA(),"")</f>
        <v/>
      </c>
      <c r="F66" s="19" t="str">
        <f>IFERROR(NA(),"")</f>
        <v/>
      </c>
      <c r="G66" s="20">
        <f>'Derived 5Y Spreads'!E66</f>
      </c>
      <c r="H66" s="21" t="str">
        <f>'Derived 5Y Spreads'!O66</f>
        <v>stale</v>
      </c>
      <c r="I66" s="22" t="str">
        <f>'Derived 5Y Spreads'!A66</f>
        <v>screenshot-reference-20260824-v1</v>
      </c>
      <c r="J66" s="22" t="str">
        <f>'Derived 5Y Spreads'!D66</f>
        <v>SCREENSHOT.NVIDIA.5Y</v>
      </c>
      <c r="K66" s="5"/>
    </row>
    <row r="67" spans="1:11" x14ac:dyDescent="0.25">
      <c r="A67" s="7">
        <v>46197</v>
      </c>
      <c r="B67" s="6" t="s">
        <v>20</v>
      </c>
      <c r="C67" s="23">
        <f>'Derived 5Y Spreads'!G67</f>
        <v>54</v>
      </c>
      <c r="D67" s="24">
        <f>C67-'Derived 5Y Spreads'!G60</f>
        <v>0.5700000000000003</v>
      </c>
      <c r="E67" s="24">
        <f>C67-'Derived 5Y Spreads'!G34</f>
        <v>4</v>
      </c>
      <c r="F67" s="24" t="str">
        <f>IFERROR(NA(),"")</f>
        <v/>
      </c>
      <c r="G67" s="25">
        <f>'Derived 5Y Spreads'!E67</f>
      </c>
      <c r="H67" s="21" t="str">
        <f>'Derived 5Y Spreads'!O67</f>
        <v>stale</v>
      </c>
      <c r="I67" s="26" t="str">
        <f>'Derived 5Y Spreads'!A67</f>
        <v>screenshot-reference-20260824-v1</v>
      </c>
      <c r="J67" s="26" t="str">
        <f>'Derived 5Y Spreads'!D67</f>
        <v>SCREENSHOT.AMZN.5Y</v>
      </c>
      <c r="K67" s="9"/>
    </row>
    <row r="68" spans="1:11" x14ac:dyDescent="0.25">
      <c r="A68" s="3">
        <v>46197</v>
      </c>
      <c r="B68" s="2" t="s">
        <v>23</v>
      </c>
      <c r="C68" s="18">
        <f>'Derived 5Y Spreads'!G68</f>
        <v>52</v>
      </c>
      <c r="D68" s="19">
        <f>C68-'Derived 5Y Spreads'!G61</f>
        <v>0.4299999999999997</v>
      </c>
      <c r="E68" s="19">
        <f>C68-'Derived 5Y Spreads'!G35</f>
        <v>3</v>
      </c>
      <c r="F68" s="19" t="str">
        <f>IFERROR(NA(),"")</f>
        <v/>
      </c>
      <c r="G68" s="20">
        <f>'Derived 5Y Spreads'!E68</f>
      </c>
      <c r="H68" s="21" t="str">
        <f>'Derived 5Y Spreads'!O68</f>
        <v>stale</v>
      </c>
      <c r="I68" s="22" t="str">
        <f>'Derived 5Y Spreads'!A68</f>
        <v>screenshot-reference-20260824-v1</v>
      </c>
      <c r="J68" s="22" t="str">
        <f>'Derived 5Y Spreads'!D68</f>
        <v>SCREENSHOT.ALPHINC.5Y</v>
      </c>
      <c r="K68" s="5"/>
    </row>
    <row r="69" spans="1:11" x14ac:dyDescent="0.25">
      <c r="A69" s="7">
        <v>46197</v>
      </c>
      <c r="B69" s="6" t="s">
        <v>26</v>
      </c>
      <c r="C69" s="23">
        <f>'Derived 5Y Spreads'!G69</f>
        <v>40</v>
      </c>
      <c r="D69" s="24">
        <f>C69-'Derived 5Y Spreads'!G62</f>
        <v>0.28999999999999915</v>
      </c>
      <c r="E69" s="24">
        <f>C69-'Derived 5Y Spreads'!G36</f>
        <v>2</v>
      </c>
      <c r="F69" s="24" t="str">
        <f>IFERROR(NA(),"")</f>
        <v/>
      </c>
      <c r="G69" s="25">
        <f>'Derived 5Y Spreads'!E69</f>
      </c>
      <c r="H69" s="21" t="str">
        <f>'Derived 5Y Spreads'!O69</f>
        <v>stale</v>
      </c>
      <c r="I69" s="26" t="str">
        <f>'Derived 5Y Spreads'!A69</f>
        <v>screenshot-reference-20260824-v1</v>
      </c>
      <c r="J69" s="26" t="str">
        <f>'Derived 5Y Spreads'!D69</f>
        <v>SCREENSHOT.MSFT.5Y</v>
      </c>
      <c r="K69" s="9"/>
    </row>
    <row r="70" spans="1:11" x14ac:dyDescent="0.25">
      <c r="A70" s="3">
        <v>46197</v>
      </c>
      <c r="B70" s="2" t="s">
        <v>29</v>
      </c>
      <c r="C70" s="18">
        <f>'Derived 5Y Spreads'!G70</f>
        <v>71</v>
      </c>
      <c r="D70" s="19">
        <f>C70-'Derived 5Y Spreads'!G63</f>
        <v>0.29000000000000625</v>
      </c>
      <c r="E70" s="19">
        <f>C70-'Derived 5Y Spreads'!G37</f>
        <v>2</v>
      </c>
      <c r="F70" s="19" t="str">
        <f>IFERROR(NA(),"")</f>
        <v/>
      </c>
      <c r="G70" s="20">
        <f>'Derived 5Y Spreads'!E70</f>
      </c>
      <c r="H70" s="21" t="str">
        <f>'Derived 5Y Spreads'!O70</f>
        <v>stale</v>
      </c>
      <c r="I70" s="22" t="str">
        <f>'Derived 5Y Spreads'!A70</f>
        <v>screenshot-reference-20260824-v1</v>
      </c>
      <c r="J70" s="22" t="str">
        <f>'Derived 5Y Spreads'!D70</f>
        <v>SCREENSHOT.METAPL.5Y</v>
      </c>
      <c r="K70" s="5"/>
    </row>
    <row r="71" spans="1:11" x14ac:dyDescent="0.25">
      <c r="A71" s="7">
        <v>46198</v>
      </c>
      <c r="B71" s="6" t="s">
        <v>9</v>
      </c>
      <c r="C71" s="23">
        <f>'Derived 5Y Spreads'!G71</f>
        <v>164.71</v>
      </c>
      <c r="D71" s="24">
        <f>C71-'Derived 5Y Spreads'!G64</f>
        <v>1.5700000000000216</v>
      </c>
      <c r="E71" s="24">
        <f>C71-'Derived 5Y Spreads'!G38</f>
        <v>8.140000000000015</v>
      </c>
      <c r="F71" s="24" t="str">
        <f>IFERROR(NA(),"")</f>
        <v/>
      </c>
      <c r="G71" s="25">
        <f>'Derived 5Y Spreads'!E71</f>
      </c>
      <c r="H71" s="21" t="str">
        <f>'Derived 5Y Spreads'!O71</f>
        <v>stale</v>
      </c>
      <c r="I71" s="26" t="str">
        <f>'Derived 5Y Spreads'!A71</f>
        <v>screenshot-reference-20260824-v1</v>
      </c>
      <c r="J71" s="26" t="str">
        <f>'Derived 5Y Spreads'!D71</f>
        <v>SCREENSHOT.ORCLE.5Y</v>
      </c>
      <c r="K71" s="9"/>
    </row>
    <row r="72" spans="1:11" x14ac:dyDescent="0.25">
      <c r="A72" s="3">
        <v>46198</v>
      </c>
      <c r="B72" s="2" t="s">
        <v>14</v>
      </c>
      <c r="C72" s="18">
        <f>'Derived 5Y Spreads'!G72</f>
        <v>554</v>
      </c>
      <c r="D72" s="19">
        <f>C72-'Derived 5Y Spreads'!G65</f>
        <v>-1</v>
      </c>
      <c r="E72" s="19">
        <f>C72-'Derived 5Y Spreads'!G39</f>
        <v>63.29000000000002</v>
      </c>
      <c r="F72" s="19" t="str">
        <f>IFERROR(NA(),"")</f>
        <v/>
      </c>
      <c r="G72" s="20">
        <f>'Derived 5Y Spreads'!E72</f>
      </c>
      <c r="H72" s="21" t="str">
        <f>'Derived 5Y Spreads'!O72</f>
        <v>stale</v>
      </c>
      <c r="I72" s="22" t="str">
        <f>'Derived 5Y Spreads'!A72</f>
        <v>screenshot-reference-20260824-v1</v>
      </c>
      <c r="J72" s="22" t="str">
        <f>'Derived 5Y Spreads'!D72</f>
        <v>SCREENSHOT.COREWEI.5Y</v>
      </c>
      <c r="K72" s="5"/>
    </row>
    <row r="73" spans="1:11" x14ac:dyDescent="0.25">
      <c r="A73" s="7">
        <v>46198</v>
      </c>
      <c r="B73" s="6" t="s">
        <v>17</v>
      </c>
      <c r="C73" s="23">
        <f>'Derived 5Y Spreads'!G73</f>
        <v>42.57</v>
      </c>
      <c r="D73" s="24">
        <f>C73-'Derived 5Y Spreads'!G66</f>
        <v>0.8599999999999994</v>
      </c>
      <c r="E73" s="24" t="str">
        <f>IFERROR(NA(),"")</f>
        <v/>
      </c>
      <c r="F73" s="24" t="str">
        <f>IFERROR(NA(),"")</f>
        <v/>
      </c>
      <c r="G73" s="25">
        <f>'Derived 5Y Spreads'!E73</f>
      </c>
      <c r="H73" s="21" t="str">
        <f>'Derived 5Y Spreads'!O73</f>
        <v>stale</v>
      </c>
      <c r="I73" s="26" t="str">
        <f>'Derived 5Y Spreads'!A73</f>
        <v>screenshot-reference-20260824-v1</v>
      </c>
      <c r="J73" s="26" t="str">
        <f>'Derived 5Y Spreads'!D73</f>
        <v>SCREENSHOT.NVIDIA.5Y</v>
      </c>
      <c r="K73" s="9"/>
    </row>
    <row r="74" spans="1:11" x14ac:dyDescent="0.25">
      <c r="A74" s="3">
        <v>46198</v>
      </c>
      <c r="B74" s="2" t="s">
        <v>20</v>
      </c>
      <c r="C74" s="18">
        <f>'Derived 5Y Spreads'!G74</f>
        <v>54.13</v>
      </c>
      <c r="D74" s="19">
        <f>C74-'Derived 5Y Spreads'!G67</f>
        <v>0.13000000000000256</v>
      </c>
      <c r="E74" s="19">
        <f>C74-'Derived 5Y Spreads'!G40</f>
        <v>3.5600000000000023</v>
      </c>
      <c r="F74" s="19" t="str">
        <f>IFERROR(NA(),"")</f>
        <v/>
      </c>
      <c r="G74" s="20">
        <f>'Derived 5Y Spreads'!E74</f>
      </c>
      <c r="H74" s="21" t="str">
        <f>'Derived 5Y Spreads'!O74</f>
        <v>stale</v>
      </c>
      <c r="I74" s="22" t="str">
        <f>'Derived 5Y Spreads'!A74</f>
        <v>screenshot-reference-20260824-v1</v>
      </c>
      <c r="J74" s="22" t="str">
        <f>'Derived 5Y Spreads'!D74</f>
        <v>SCREENSHOT.AMZN.5Y</v>
      </c>
      <c r="K74" s="5"/>
    </row>
    <row r="75" spans="1:11" x14ac:dyDescent="0.25">
      <c r="A75" s="7">
        <v>46198</v>
      </c>
      <c r="B75" s="6" t="s">
        <v>23</v>
      </c>
      <c r="C75" s="23">
        <f>'Derived 5Y Spreads'!G75</f>
        <v>52.29</v>
      </c>
      <c r="D75" s="24">
        <f>C75-'Derived 5Y Spreads'!G68</f>
        <v>0.28999999999999915</v>
      </c>
      <c r="E75" s="24">
        <f>C75-'Derived 5Y Spreads'!G41</f>
        <v>2.8599999999999994</v>
      </c>
      <c r="F75" s="24" t="str">
        <f>IFERROR(NA(),"")</f>
        <v/>
      </c>
      <c r="G75" s="25">
        <f>'Derived 5Y Spreads'!E75</f>
      </c>
      <c r="H75" s="21" t="str">
        <f>'Derived 5Y Spreads'!O75</f>
        <v>stale</v>
      </c>
      <c r="I75" s="26" t="str">
        <f>'Derived 5Y Spreads'!A75</f>
        <v>screenshot-reference-20260824-v1</v>
      </c>
      <c r="J75" s="26" t="str">
        <f>'Derived 5Y Spreads'!D75</f>
        <v>SCREENSHOT.ALPHINC.5Y</v>
      </c>
      <c r="K75" s="9"/>
    </row>
    <row r="76" spans="1:11" x14ac:dyDescent="0.25">
      <c r="A76" s="3">
        <v>46198</v>
      </c>
      <c r="B76" s="2" t="s">
        <v>26</v>
      </c>
      <c r="C76" s="18">
        <f>'Derived 5Y Spreads'!G76</f>
        <v>40.4</v>
      </c>
      <c r="D76" s="19">
        <f>C76-'Derived 5Y Spreads'!G69</f>
        <v>0.3999999999999986</v>
      </c>
      <c r="E76" s="19">
        <f>C76-'Derived 5Y Spreads'!G42</f>
        <v>2.1099999999999994</v>
      </c>
      <c r="F76" s="19" t="str">
        <f>IFERROR(NA(),"")</f>
        <v/>
      </c>
      <c r="G76" s="20">
        <f>'Derived 5Y Spreads'!E76</f>
      </c>
      <c r="H76" s="21" t="str">
        <f>'Derived 5Y Spreads'!O76</f>
        <v>stale</v>
      </c>
      <c r="I76" s="22" t="str">
        <f>'Derived 5Y Spreads'!A76</f>
        <v>screenshot-reference-20260824-v1</v>
      </c>
      <c r="J76" s="22" t="str">
        <f>'Derived 5Y Spreads'!D76</f>
        <v>SCREENSHOT.MSFT.5Y</v>
      </c>
      <c r="K76" s="5"/>
    </row>
    <row r="77" spans="1:11" x14ac:dyDescent="0.25">
      <c r="A77" s="7">
        <v>46198</v>
      </c>
      <c r="B77" s="6" t="s">
        <v>29</v>
      </c>
      <c r="C77" s="23">
        <f>'Derived 5Y Spreads'!G77</f>
        <v>70.63</v>
      </c>
      <c r="D77" s="24">
        <f>C77-'Derived 5Y Spreads'!G70</f>
        <v>-0.37000000000000455</v>
      </c>
      <c r="E77" s="24">
        <f>C77-'Derived 5Y Spreads'!G43</f>
        <v>1.3399999999999892</v>
      </c>
      <c r="F77" s="24" t="str">
        <f>IFERROR(NA(),"")</f>
        <v/>
      </c>
      <c r="G77" s="25">
        <f>'Derived 5Y Spreads'!E77</f>
      </c>
      <c r="H77" s="21" t="str">
        <f>'Derived 5Y Spreads'!O77</f>
        <v>stale</v>
      </c>
      <c r="I77" s="26" t="str">
        <f>'Derived 5Y Spreads'!A77</f>
        <v>screenshot-reference-20260824-v1</v>
      </c>
      <c r="J77" s="26" t="str">
        <f>'Derived 5Y Spreads'!D77</f>
        <v>SCREENSHOT.METAPL.5Y</v>
      </c>
      <c r="K77" s="9"/>
    </row>
    <row r="78" spans="1:11" x14ac:dyDescent="0.25">
      <c r="A78" s="3">
        <v>46199</v>
      </c>
      <c r="B78" s="2" t="s">
        <v>9</v>
      </c>
      <c r="C78" s="18">
        <f>'Derived 5Y Spreads'!G78</f>
        <v>166.29</v>
      </c>
      <c r="D78" s="19">
        <f>C78-'Derived 5Y Spreads'!G71</f>
        <v>1.579999999999984</v>
      </c>
      <c r="E78" s="19">
        <f>C78-'Derived 5Y Spreads'!G44</f>
        <v>8.859999999999985</v>
      </c>
      <c r="F78" s="19" t="str">
        <f>IFERROR(NA(),"")</f>
        <v/>
      </c>
      <c r="G78" s="20">
        <f>'Derived 5Y Spreads'!E78</f>
      </c>
      <c r="H78" s="21" t="str">
        <f>'Derived 5Y Spreads'!O78</f>
        <v>stale</v>
      </c>
      <c r="I78" s="22" t="str">
        <f>'Derived 5Y Spreads'!A78</f>
        <v>screenshot-reference-20260824-v1</v>
      </c>
      <c r="J78" s="22" t="str">
        <f>'Derived 5Y Spreads'!D78</f>
        <v>SCREENSHOT.ORCLE.5Y</v>
      </c>
      <c r="K78" s="5"/>
    </row>
    <row r="79" spans="1:11" x14ac:dyDescent="0.25">
      <c r="A79" s="7">
        <v>46199</v>
      </c>
      <c r="B79" s="6" t="s">
        <v>14</v>
      </c>
      <c r="C79" s="23">
        <f>'Derived 5Y Spreads'!G79</f>
        <v>553</v>
      </c>
      <c r="D79" s="24">
        <f>C79-'Derived 5Y Spreads'!G72</f>
        <v>-1</v>
      </c>
      <c r="E79" s="24">
        <f>C79-'Derived 5Y Spreads'!G45</f>
        <v>51.56999999999999</v>
      </c>
      <c r="F79" s="24" t="str">
        <f>IFERROR(NA(),"")</f>
        <v/>
      </c>
      <c r="G79" s="25">
        <f>'Derived 5Y Spreads'!E79</f>
      </c>
      <c r="H79" s="21" t="str">
        <f>'Derived 5Y Spreads'!O79</f>
        <v>stale</v>
      </c>
      <c r="I79" s="26" t="str">
        <f>'Derived 5Y Spreads'!A79</f>
        <v>screenshot-reference-20260824-v1</v>
      </c>
      <c r="J79" s="26" t="str">
        <f>'Derived 5Y Spreads'!D79</f>
        <v>SCREENSHOT.COREWEI.5Y</v>
      </c>
      <c r="K79" s="9"/>
    </row>
    <row r="80" spans="1:11" x14ac:dyDescent="0.25">
      <c r="A80" s="3">
        <v>46199</v>
      </c>
      <c r="B80" s="2" t="s">
        <v>17</v>
      </c>
      <c r="C80" s="18">
        <f>'Derived 5Y Spreads'!G80</f>
        <v>43.43</v>
      </c>
      <c r="D80" s="19">
        <f>C80-'Derived 5Y Spreads'!G73</f>
        <v>0.8599999999999994</v>
      </c>
      <c r="E80" s="19" t="str">
        <f>IFERROR(NA(),"")</f>
        <v/>
      </c>
      <c r="F80" s="19" t="str">
        <f>IFERROR(NA(),"")</f>
        <v/>
      </c>
      <c r="G80" s="20">
        <f>'Derived 5Y Spreads'!E80</f>
      </c>
      <c r="H80" s="21" t="str">
        <f>'Derived 5Y Spreads'!O80</f>
        <v>stale</v>
      </c>
      <c r="I80" s="22" t="str">
        <f>'Derived 5Y Spreads'!A80</f>
        <v>screenshot-reference-20260824-v1</v>
      </c>
      <c r="J80" s="22" t="str">
        <f>'Derived 5Y Spreads'!D80</f>
        <v>SCREENSHOT.NVIDIA.5Y</v>
      </c>
      <c r="K80" s="5"/>
    </row>
    <row r="81" spans="1:11" x14ac:dyDescent="0.25">
      <c r="A81" s="7">
        <v>46199</v>
      </c>
      <c r="B81" s="6" t="s">
        <v>20</v>
      </c>
      <c r="C81" s="23">
        <f>'Derived 5Y Spreads'!G81</f>
        <v>54.25</v>
      </c>
      <c r="D81" s="24">
        <f>C81-'Derived 5Y Spreads'!G74</f>
        <v>0.11999999999999744</v>
      </c>
      <c r="E81" s="24">
        <f>C81-'Derived 5Y Spreads'!G46</f>
        <v>3.1099999999999994</v>
      </c>
      <c r="F81" s="24" t="str">
        <f>IFERROR(NA(),"")</f>
        <v/>
      </c>
      <c r="G81" s="25">
        <f>'Derived 5Y Spreads'!E81</f>
      </c>
      <c r="H81" s="21" t="str">
        <f>'Derived 5Y Spreads'!O81</f>
        <v>stale</v>
      </c>
      <c r="I81" s="26" t="str">
        <f>'Derived 5Y Spreads'!A81</f>
        <v>screenshot-reference-20260824-v1</v>
      </c>
      <c r="J81" s="26" t="str">
        <f>'Derived 5Y Spreads'!D81</f>
        <v>SCREENSHOT.AMZN.5Y</v>
      </c>
      <c r="K81" s="9"/>
    </row>
    <row r="82" spans="1:11" x14ac:dyDescent="0.25">
      <c r="A82" s="3">
        <v>46199</v>
      </c>
      <c r="B82" s="2" t="s">
        <v>23</v>
      </c>
      <c r="C82" s="18">
        <f>'Derived 5Y Spreads'!G82</f>
        <v>52.57</v>
      </c>
      <c r="D82" s="19">
        <f>C82-'Derived 5Y Spreads'!G75</f>
        <v>0.28000000000000114</v>
      </c>
      <c r="E82" s="19">
        <f>C82-'Derived 5Y Spreads'!G47</f>
        <v>2.710000000000001</v>
      </c>
      <c r="F82" s="19" t="str">
        <f>IFERROR(NA(),"")</f>
        <v/>
      </c>
      <c r="G82" s="20">
        <f>'Derived 5Y Spreads'!E82</f>
      </c>
      <c r="H82" s="21" t="str">
        <f>'Derived 5Y Spreads'!O82</f>
        <v>stale</v>
      </c>
      <c r="I82" s="22" t="str">
        <f>'Derived 5Y Spreads'!A82</f>
        <v>screenshot-reference-20260824-v1</v>
      </c>
      <c r="J82" s="22" t="str">
        <f>'Derived 5Y Spreads'!D82</f>
        <v>SCREENSHOT.ALPHINC.5Y</v>
      </c>
      <c r="K82" s="5"/>
    </row>
    <row r="83" spans="1:11" x14ac:dyDescent="0.25">
      <c r="A83" s="7">
        <v>46199</v>
      </c>
      <c r="B83" s="6" t="s">
        <v>26</v>
      </c>
      <c r="C83" s="23">
        <f>'Derived 5Y Spreads'!G83</f>
        <v>40.8</v>
      </c>
      <c r="D83" s="24">
        <f>C83-'Derived 5Y Spreads'!G76</f>
        <v>0.3999999999999986</v>
      </c>
      <c r="E83" s="24">
        <f>C83-'Derived 5Y Spreads'!G48</f>
        <v>2.229999999999997</v>
      </c>
      <c r="F83" s="24" t="str">
        <f>IFERROR(NA(),"")</f>
        <v/>
      </c>
      <c r="G83" s="25">
        <f>'Derived 5Y Spreads'!E83</f>
      </c>
      <c r="H83" s="21" t="str">
        <f>'Derived 5Y Spreads'!O83</f>
        <v>stale</v>
      </c>
      <c r="I83" s="26" t="str">
        <f>'Derived 5Y Spreads'!A83</f>
        <v>screenshot-reference-20260824-v1</v>
      </c>
      <c r="J83" s="26" t="str">
        <f>'Derived 5Y Spreads'!D83</f>
        <v>SCREENSHOT.MSFT.5Y</v>
      </c>
      <c r="K83" s="9"/>
    </row>
    <row r="84" spans="1:11" x14ac:dyDescent="0.25">
      <c r="A84" s="3">
        <v>46199</v>
      </c>
      <c r="B84" s="2" t="s">
        <v>29</v>
      </c>
      <c r="C84" s="18">
        <f>'Derived 5Y Spreads'!G84</f>
        <v>70.25</v>
      </c>
      <c r="D84" s="19">
        <f>C84-'Derived 5Y Spreads'!G77</f>
        <v>-0.37999999999999545</v>
      </c>
      <c r="E84" s="19">
        <f>C84-'Derived 5Y Spreads'!G49</f>
        <v>0.6800000000000068</v>
      </c>
      <c r="F84" s="19" t="str">
        <f>IFERROR(NA(),"")</f>
        <v/>
      </c>
      <c r="G84" s="20">
        <f>'Derived 5Y Spreads'!E84</f>
      </c>
      <c r="H84" s="21" t="str">
        <f>'Derived 5Y Spreads'!O84</f>
        <v>stale</v>
      </c>
      <c r="I84" s="22" t="str">
        <f>'Derived 5Y Spreads'!A84</f>
        <v>screenshot-reference-20260824-v1</v>
      </c>
      <c r="J84" s="22" t="str">
        <f>'Derived 5Y Spreads'!D84</f>
        <v>SCREENSHOT.METAPL.5Y</v>
      </c>
      <c r="K84" s="5"/>
    </row>
    <row r="85" spans="1:11" x14ac:dyDescent="0.25">
      <c r="A85" s="7">
        <v>46202</v>
      </c>
      <c r="B85" s="6" t="s">
        <v>9</v>
      </c>
      <c r="C85" s="23">
        <f>'Derived 5Y Spreads'!G85</f>
        <v>171</v>
      </c>
      <c r="D85" s="24">
        <f>C85-'Derived 5Y Spreads'!G78</f>
        <v>4.710000000000008</v>
      </c>
      <c r="E85" s="24">
        <f>C85-'Derived 5Y Spreads'!G50</f>
        <v>11</v>
      </c>
      <c r="F85" s="24" t="str">
        <f>IFERROR(NA(),"")</f>
        <v/>
      </c>
      <c r="G85" s="25">
        <f>'Derived 5Y Spreads'!E85</f>
      </c>
      <c r="H85" s="21" t="str">
        <f>'Derived 5Y Spreads'!O85</f>
        <v>stale</v>
      </c>
      <c r="I85" s="26" t="str">
        <f>'Derived 5Y Spreads'!A85</f>
        <v>screenshot-reference-20260824-v1</v>
      </c>
      <c r="J85" s="26" t="str">
        <f>'Derived 5Y Spreads'!D85</f>
        <v>SCREENSHOT.ORCLE.5Y</v>
      </c>
      <c r="K85" s="9"/>
    </row>
    <row r="86" spans="1:11" x14ac:dyDescent="0.25">
      <c r="A86" s="3">
        <v>46202</v>
      </c>
      <c r="B86" s="2" t="s">
        <v>14</v>
      </c>
      <c r="C86" s="18">
        <f>'Derived 5Y Spreads'!G86</f>
        <v>550</v>
      </c>
      <c r="D86" s="19">
        <f>C86-'Derived 5Y Spreads'!G79</f>
        <v>-3</v>
      </c>
      <c r="E86" s="19">
        <f>C86-'Derived 5Y Spreads'!G51</f>
        <v>16.42999999999995</v>
      </c>
      <c r="F86" s="19" t="str">
        <f>IFERROR(NA(),"")</f>
        <v/>
      </c>
      <c r="G86" s="20">
        <f>'Derived 5Y Spreads'!E86</f>
      </c>
      <c r="H86" s="21" t="str">
        <f>'Derived 5Y Spreads'!O86</f>
        <v>stale</v>
      </c>
      <c r="I86" s="22" t="str">
        <f>'Derived 5Y Spreads'!A86</f>
        <v>screenshot-reference-20260824-v1</v>
      </c>
      <c r="J86" s="22" t="str">
        <f>'Derived 5Y Spreads'!D86</f>
        <v>SCREENSHOT.COREWEI.5Y</v>
      </c>
      <c r="K86" s="5"/>
    </row>
    <row r="87" spans="1:11" x14ac:dyDescent="0.25">
      <c r="A87" s="7">
        <v>46202</v>
      </c>
      <c r="B87" s="6" t="s">
        <v>17</v>
      </c>
      <c r="C87" s="23">
        <f>'Derived 5Y Spreads'!G87</f>
        <v>46</v>
      </c>
      <c r="D87" s="24">
        <f>C87-'Derived 5Y Spreads'!G80</f>
        <v>2.5700000000000003</v>
      </c>
      <c r="E87" s="24">
        <f>C87-'Derived 5Y Spreads'!G52</f>
        <v>6</v>
      </c>
      <c r="F87" s="24" t="str">
        <f>IFERROR(NA(),"")</f>
        <v/>
      </c>
      <c r="G87" s="25">
        <f>'Derived 5Y Spreads'!E87</f>
      </c>
      <c r="H87" s="21" t="str">
        <f>'Derived 5Y Spreads'!O87</f>
        <v>stale</v>
      </c>
      <c r="I87" s="26" t="str">
        <f>'Derived 5Y Spreads'!A87</f>
        <v>screenshot-reference-20260824-v1</v>
      </c>
      <c r="J87" s="26" t="str">
        <f>'Derived 5Y Spreads'!D87</f>
        <v>SCREENSHOT.NVIDIA.5Y</v>
      </c>
      <c r="K87" s="9"/>
    </row>
    <row r="88" spans="1:11" x14ac:dyDescent="0.25">
      <c r="A88" s="3">
        <v>46202</v>
      </c>
      <c r="B88" s="2" t="s">
        <v>20</v>
      </c>
      <c r="C88" s="18">
        <f>'Derived 5Y Spreads'!G88</f>
        <v>54.63</v>
      </c>
      <c r="D88" s="19">
        <f>C88-'Derived 5Y Spreads'!G81</f>
        <v>0.38000000000000256</v>
      </c>
      <c r="E88" s="19">
        <f>C88-'Derived 5Y Spreads'!G53</f>
        <v>1.7700000000000031</v>
      </c>
      <c r="F88" s="19" t="str">
        <f>IFERROR(NA(),"")</f>
        <v/>
      </c>
      <c r="G88" s="20">
        <f>'Derived 5Y Spreads'!E88</f>
      </c>
      <c r="H88" s="21" t="str">
        <f>'Derived 5Y Spreads'!O88</f>
        <v>stale</v>
      </c>
      <c r="I88" s="22" t="str">
        <f>'Derived 5Y Spreads'!A88</f>
        <v>screenshot-reference-20260824-v1</v>
      </c>
      <c r="J88" s="22" t="str">
        <f>'Derived 5Y Spreads'!D88</f>
        <v>SCREENSHOT.AMZN.5Y</v>
      </c>
      <c r="K88" s="5"/>
    </row>
    <row r="89" spans="1:11" x14ac:dyDescent="0.25">
      <c r="A89" s="7">
        <v>46202</v>
      </c>
      <c r="B89" s="6" t="s">
        <v>23</v>
      </c>
      <c r="C89" s="23">
        <f>'Derived 5Y Spreads'!G89</f>
        <v>53.43</v>
      </c>
      <c r="D89" s="24">
        <f>C89-'Derived 5Y Spreads'!G82</f>
        <v>0.8599999999999994</v>
      </c>
      <c r="E89" s="24">
        <f>C89-'Derived 5Y Spreads'!G54</f>
        <v>2.289999999999999</v>
      </c>
      <c r="F89" s="24" t="str">
        <f>IFERROR(NA(),"")</f>
        <v/>
      </c>
      <c r="G89" s="25">
        <f>'Derived 5Y Spreads'!E89</f>
      </c>
      <c r="H89" s="21" t="str">
        <f>'Derived 5Y Spreads'!O89</f>
        <v>stale</v>
      </c>
      <c r="I89" s="26" t="str">
        <f>'Derived 5Y Spreads'!A89</f>
        <v>screenshot-reference-20260824-v1</v>
      </c>
      <c r="J89" s="26" t="str">
        <f>'Derived 5Y Spreads'!D89</f>
        <v>SCREENSHOT.ALPHINC.5Y</v>
      </c>
      <c r="K89" s="9"/>
    </row>
    <row r="90" spans="1:11" x14ac:dyDescent="0.25">
      <c r="A90" s="3">
        <v>46202</v>
      </c>
      <c r="B90" s="2" t="s">
        <v>26</v>
      </c>
      <c r="C90" s="18">
        <f>'Derived 5Y Spreads'!G90</f>
        <v>42</v>
      </c>
      <c r="D90" s="19">
        <f>C90-'Derived 5Y Spreads'!G83</f>
        <v>1.2000000000000028</v>
      </c>
      <c r="E90" s="19">
        <f>C90-'Derived 5Y Spreads'!G55</f>
        <v>2.5700000000000003</v>
      </c>
      <c r="F90" s="19" t="str">
        <f>IFERROR(NA(),"")</f>
        <v/>
      </c>
      <c r="G90" s="20">
        <f>'Derived 5Y Spreads'!E90</f>
      </c>
      <c r="H90" s="21" t="str">
        <f>'Derived 5Y Spreads'!O90</f>
        <v>stale</v>
      </c>
      <c r="I90" s="22" t="str">
        <f>'Derived 5Y Spreads'!A90</f>
        <v>screenshot-reference-20260824-v1</v>
      </c>
      <c r="J90" s="22" t="str">
        <f>'Derived 5Y Spreads'!D90</f>
        <v>SCREENSHOT.MSFT.5Y</v>
      </c>
      <c r="K90" s="5"/>
    </row>
    <row r="91" spans="1:11" x14ac:dyDescent="0.25">
      <c r="A91" s="7">
        <v>46202</v>
      </c>
      <c r="B91" s="6" t="s">
        <v>29</v>
      </c>
      <c r="C91" s="23">
        <f>'Derived 5Y Spreads'!G91</f>
        <v>69.13</v>
      </c>
      <c r="D91" s="24">
        <f>C91-'Derived 5Y Spreads'!G84</f>
        <v>-1.1200000000000045</v>
      </c>
      <c r="E91" s="24">
        <f>C91-'Derived 5Y Spreads'!G56</f>
        <v>-1.3000000000000114</v>
      </c>
      <c r="F91" s="24" t="str">
        <f>IFERROR(NA(),"")</f>
        <v/>
      </c>
      <c r="G91" s="25">
        <f>'Derived 5Y Spreads'!E91</f>
      </c>
      <c r="H91" s="21" t="str">
        <f>'Derived 5Y Spreads'!O91</f>
        <v>stale</v>
      </c>
      <c r="I91" s="26" t="str">
        <f>'Derived 5Y Spreads'!A91</f>
        <v>screenshot-reference-20260824-v1</v>
      </c>
      <c r="J91" s="26" t="str">
        <f>'Derived 5Y Spreads'!D91</f>
        <v>SCREENSHOT.METAPL.5Y</v>
      </c>
      <c r="K91" s="9"/>
    </row>
    <row r="92" spans="1:11" x14ac:dyDescent="0.25">
      <c r="A92" s="3">
        <v>46203</v>
      </c>
      <c r="B92" s="2" t="s">
        <v>9</v>
      </c>
      <c r="C92" s="18">
        <f>'Derived 5Y Spreads'!G92</f>
        <v>170.71</v>
      </c>
      <c r="D92" s="19">
        <f>C92-'Derived 5Y Spreads'!G85</f>
        <v>-0.28999999999999204</v>
      </c>
      <c r="E92" s="19">
        <f>C92-'Derived 5Y Spreads'!G57</f>
        <v>9.140000000000015</v>
      </c>
      <c r="F92" s="19" t="str">
        <f>IFERROR(NA(),"")</f>
        <v/>
      </c>
      <c r="G92" s="20">
        <f>'Derived 5Y Spreads'!E92</f>
      </c>
      <c r="H92" s="21" t="str">
        <f>'Derived 5Y Spreads'!O92</f>
        <v>stale</v>
      </c>
      <c r="I92" s="22" t="str">
        <f>'Derived 5Y Spreads'!A92</f>
        <v>screenshot-reference-20260824-v1</v>
      </c>
      <c r="J92" s="22" t="str">
        <f>'Derived 5Y Spreads'!D92</f>
        <v>SCREENSHOT.ORCLE.5Y</v>
      </c>
      <c r="K92" s="5"/>
    </row>
    <row r="93" spans="1:11" x14ac:dyDescent="0.25">
      <c r="A93" s="7">
        <v>46203</v>
      </c>
      <c r="B93" s="6" t="s">
        <v>14</v>
      </c>
      <c r="C93" s="23">
        <f>'Derived 5Y Spreads'!G93</f>
        <v>561.67</v>
      </c>
      <c r="D93" s="24">
        <f>C93-'Derived 5Y Spreads'!G86</f>
        <v>11.669999999999959</v>
      </c>
      <c r="E93" s="24">
        <f>C93-'Derived 5Y Spreads'!G58</f>
        <v>17.379999999999995</v>
      </c>
      <c r="F93" s="24" t="str">
        <f>IFERROR(NA(),"")</f>
        <v/>
      </c>
      <c r="G93" s="25">
        <f>'Derived 5Y Spreads'!E93</f>
      </c>
      <c r="H93" s="21" t="str">
        <f>'Derived 5Y Spreads'!O93</f>
        <v>stale</v>
      </c>
      <c r="I93" s="26" t="str">
        <f>'Derived 5Y Spreads'!A93</f>
        <v>screenshot-reference-20260824-v1</v>
      </c>
      <c r="J93" s="26" t="str">
        <f>'Derived 5Y Spreads'!D93</f>
        <v>SCREENSHOT.COREWEI.5Y</v>
      </c>
      <c r="K93" s="9"/>
    </row>
    <row r="94" spans="1:11" x14ac:dyDescent="0.25">
      <c r="A94" s="3">
        <v>46203</v>
      </c>
      <c r="B94" s="2" t="s">
        <v>17</v>
      </c>
      <c r="C94" s="18">
        <f>'Derived 5Y Spreads'!G94</f>
        <v>45.89</v>
      </c>
      <c r="D94" s="19">
        <f>C94-'Derived 5Y Spreads'!G87</f>
        <v>-0.10999999999999943</v>
      </c>
      <c r="E94" s="19">
        <f>C94-'Derived 5Y Spreads'!G59</f>
        <v>5.030000000000001</v>
      </c>
      <c r="F94" s="19" t="str">
        <f>IFERROR(NA(),"")</f>
        <v/>
      </c>
      <c r="G94" s="20">
        <f>'Derived 5Y Spreads'!E94</f>
      </c>
      <c r="H94" s="21" t="str">
        <f>'Derived 5Y Spreads'!O94</f>
        <v>stale</v>
      </c>
      <c r="I94" s="22" t="str">
        <f>'Derived 5Y Spreads'!A94</f>
        <v>screenshot-reference-20260824-v1</v>
      </c>
      <c r="J94" s="22" t="str">
        <f>'Derived 5Y Spreads'!D94</f>
        <v>SCREENSHOT.NVIDIA.5Y</v>
      </c>
      <c r="K94" s="5"/>
    </row>
    <row r="95" spans="1:11" x14ac:dyDescent="0.25">
      <c r="A95" s="7">
        <v>46203</v>
      </c>
      <c r="B95" s="6" t="s">
        <v>20</v>
      </c>
      <c r="C95" s="23">
        <f>'Derived 5Y Spreads'!G95</f>
        <v>54.75</v>
      </c>
      <c r="D95" s="24">
        <f>C95-'Derived 5Y Spreads'!G88</f>
        <v>0.11999999999999744</v>
      </c>
      <c r="E95" s="24">
        <f>C95-'Derived 5Y Spreads'!G60</f>
        <v>1.3200000000000003</v>
      </c>
      <c r="F95" s="24" t="str">
        <f>IFERROR(NA(),"")</f>
        <v/>
      </c>
      <c r="G95" s="25">
        <f>'Derived 5Y Spreads'!E95</f>
      </c>
      <c r="H95" s="21" t="str">
        <f>'Derived 5Y Spreads'!O95</f>
        <v>stale</v>
      </c>
      <c r="I95" s="26" t="str">
        <f>'Derived 5Y Spreads'!A95</f>
        <v>screenshot-reference-20260824-v1</v>
      </c>
      <c r="J95" s="26" t="str">
        <f>'Derived 5Y Spreads'!D95</f>
        <v>SCREENSHOT.AMZN.5Y</v>
      </c>
      <c r="K95" s="9"/>
    </row>
    <row r="96" spans="1:11" x14ac:dyDescent="0.25">
      <c r="A96" s="3">
        <v>46203</v>
      </c>
      <c r="B96" s="2" t="s">
        <v>23</v>
      </c>
      <c r="C96" s="18">
        <f>'Derived 5Y Spreads'!G96</f>
        <v>53.71</v>
      </c>
      <c r="D96" s="19">
        <f>C96-'Derived 5Y Spreads'!G89</f>
        <v>0.28000000000000114</v>
      </c>
      <c r="E96" s="19">
        <f>C96-'Derived 5Y Spreads'!G61</f>
        <v>2.1400000000000006</v>
      </c>
      <c r="F96" s="19" t="str">
        <f>IFERROR(NA(),"")</f>
        <v/>
      </c>
      <c r="G96" s="20">
        <f>'Derived 5Y Spreads'!E96</f>
      </c>
      <c r="H96" s="21" t="str">
        <f>'Derived 5Y Spreads'!O96</f>
        <v>stale</v>
      </c>
      <c r="I96" s="22" t="str">
        <f>'Derived 5Y Spreads'!A96</f>
        <v>screenshot-reference-20260824-v1</v>
      </c>
      <c r="J96" s="22" t="str">
        <f>'Derived 5Y Spreads'!D96</f>
        <v>SCREENSHOT.ALPHINC.5Y</v>
      </c>
      <c r="K96" s="5"/>
    </row>
    <row r="97" spans="1:11" x14ac:dyDescent="0.25">
      <c r="A97" s="7">
        <v>46203</v>
      </c>
      <c r="B97" s="6" t="s">
        <v>26</v>
      </c>
      <c r="C97" s="23">
        <f>'Derived 5Y Spreads'!G97</f>
        <v>41.86</v>
      </c>
      <c r="D97" s="24">
        <f>C97-'Derived 5Y Spreads'!G90</f>
        <v>-0.14000000000000057</v>
      </c>
      <c r="E97" s="24">
        <f>C97-'Derived 5Y Spreads'!G62</f>
        <v>2.1499999999999986</v>
      </c>
      <c r="F97" s="24" t="str">
        <f>IFERROR(NA(),"")</f>
        <v/>
      </c>
      <c r="G97" s="25">
        <f>'Derived 5Y Spreads'!E97</f>
      </c>
      <c r="H97" s="21" t="str">
        <f>'Derived 5Y Spreads'!O97</f>
        <v>stale</v>
      </c>
      <c r="I97" s="26" t="str">
        <f>'Derived 5Y Spreads'!A97</f>
        <v>screenshot-reference-20260824-v1</v>
      </c>
      <c r="J97" s="26" t="str">
        <f>'Derived 5Y Spreads'!D97</f>
        <v>SCREENSHOT.MSFT.5Y</v>
      </c>
      <c r="K97" s="9"/>
    </row>
    <row r="98" spans="1:11" x14ac:dyDescent="0.25">
      <c r="A98" s="3">
        <v>46203</v>
      </c>
      <c r="B98" s="2" t="s">
        <v>29</v>
      </c>
      <c r="C98" s="18">
        <f>'Derived 5Y Spreads'!G98</f>
        <v>68.75</v>
      </c>
      <c r="D98" s="19">
        <f>C98-'Derived 5Y Spreads'!G91</f>
        <v>-0.37999999999999545</v>
      </c>
      <c r="E98" s="19">
        <f>C98-'Derived 5Y Spreads'!G63</f>
        <v>-1.9599999999999937</v>
      </c>
      <c r="F98" s="19" t="str">
        <f>IFERROR(NA(),"")</f>
        <v/>
      </c>
      <c r="G98" s="20">
        <f>'Derived 5Y Spreads'!E98</f>
      </c>
      <c r="H98" s="21" t="str">
        <f>'Derived 5Y Spreads'!O98</f>
        <v>stale</v>
      </c>
      <c r="I98" s="22" t="str">
        <f>'Derived 5Y Spreads'!A98</f>
        <v>screenshot-reference-20260824-v1</v>
      </c>
      <c r="J98" s="22" t="str">
        <f>'Derived 5Y Spreads'!D98</f>
        <v>SCREENSHOT.METAPL.5Y</v>
      </c>
      <c r="K98" s="5"/>
    </row>
    <row r="99" spans="1:11" x14ac:dyDescent="0.25">
      <c r="A99" s="7">
        <v>46204</v>
      </c>
      <c r="B99" s="6" t="s">
        <v>9</v>
      </c>
      <c r="C99" s="23">
        <f>'Derived 5Y Spreads'!G99</f>
        <v>170.43</v>
      </c>
      <c r="D99" s="24">
        <f>C99-'Derived 5Y Spreads'!G92</f>
        <v>-0.28000000000000114</v>
      </c>
      <c r="E99" s="24">
        <f>C99-'Derived 5Y Spreads'!G64</f>
        <v>7.2900000000000205</v>
      </c>
      <c r="F99" s="24" t="str">
        <f>IFERROR(NA(),"")</f>
        <v/>
      </c>
      <c r="G99" s="25">
        <f>'Derived 5Y Spreads'!E99</f>
      </c>
      <c r="H99" s="21" t="str">
        <f>'Derived 5Y Spreads'!O99</f>
        <v>stale</v>
      </c>
      <c r="I99" s="26" t="str">
        <f>'Derived 5Y Spreads'!A99</f>
        <v>screenshot-reference-20260824-v1</v>
      </c>
      <c r="J99" s="26" t="str">
        <f>'Derived 5Y Spreads'!D99</f>
        <v>SCREENSHOT.ORCLE.5Y</v>
      </c>
      <c r="K99" s="9"/>
    </row>
    <row r="100" spans="1:11" x14ac:dyDescent="0.25">
      <c r="A100" s="3">
        <v>46204</v>
      </c>
      <c r="B100" s="2" t="s">
        <v>14</v>
      </c>
      <c r="C100" s="18">
        <f>'Derived 5Y Spreads'!G100</f>
        <v>573.33</v>
      </c>
      <c r="D100" s="19">
        <f>C100-'Derived 5Y Spreads'!G93</f>
        <v>11.660000000000082</v>
      </c>
      <c r="E100" s="19">
        <f>C100-'Derived 5Y Spreads'!G65</f>
        <v>18.33000000000004</v>
      </c>
      <c r="F100" s="19" t="str">
        <f>IFERROR(NA(),"")</f>
        <v/>
      </c>
      <c r="G100" s="20">
        <f>'Derived 5Y Spreads'!E100</f>
      </c>
      <c r="H100" s="21" t="str">
        <f>'Derived 5Y Spreads'!O100</f>
        <v>stale</v>
      </c>
      <c r="I100" s="22" t="str">
        <f>'Derived 5Y Spreads'!A100</f>
        <v>screenshot-reference-20260824-v1</v>
      </c>
      <c r="J100" s="22" t="str">
        <f>'Derived 5Y Spreads'!D100</f>
        <v>SCREENSHOT.COREWEI.5Y</v>
      </c>
      <c r="K100" s="5"/>
    </row>
    <row r="101" spans="1:11" x14ac:dyDescent="0.25">
      <c r="A101" s="7">
        <v>46204</v>
      </c>
      <c r="B101" s="6" t="s">
        <v>17</v>
      </c>
      <c r="C101" s="23">
        <f>'Derived 5Y Spreads'!G101</f>
        <v>45.78</v>
      </c>
      <c r="D101" s="24">
        <f>C101-'Derived 5Y Spreads'!G94</f>
        <v>-0.10999999999999943</v>
      </c>
      <c r="E101" s="24">
        <f>C101-'Derived 5Y Spreads'!G66</f>
        <v>4.07</v>
      </c>
      <c r="F101" s="24" t="str">
        <f>IFERROR(NA(),"")</f>
        <v/>
      </c>
      <c r="G101" s="25">
        <f>'Derived 5Y Spreads'!E101</f>
      </c>
      <c r="H101" s="21" t="str">
        <f>'Derived 5Y Spreads'!O101</f>
        <v>stale</v>
      </c>
      <c r="I101" s="26" t="str">
        <f>'Derived 5Y Spreads'!A101</f>
        <v>screenshot-reference-20260824-v1</v>
      </c>
      <c r="J101" s="26" t="str">
        <f>'Derived 5Y Spreads'!D101</f>
        <v>SCREENSHOT.NVIDIA.5Y</v>
      </c>
      <c r="K101" s="9"/>
    </row>
    <row r="102" spans="1:11" x14ac:dyDescent="0.25">
      <c r="A102" s="3">
        <v>46204</v>
      </c>
      <c r="B102" s="2" t="s">
        <v>20</v>
      </c>
      <c r="C102" s="18">
        <f>'Derived 5Y Spreads'!G102</f>
        <v>54.88</v>
      </c>
      <c r="D102" s="19">
        <f>C102-'Derived 5Y Spreads'!G95</f>
        <v>0.13000000000000256</v>
      </c>
      <c r="E102" s="19">
        <f>C102-'Derived 5Y Spreads'!G67</f>
        <v>0.8800000000000026</v>
      </c>
      <c r="F102" s="19" t="str">
        <f>IFERROR(NA(),"")</f>
        <v/>
      </c>
      <c r="G102" s="20">
        <f>'Derived 5Y Spreads'!E102</f>
      </c>
      <c r="H102" s="21" t="str">
        <f>'Derived 5Y Spreads'!O102</f>
        <v>stale</v>
      </c>
      <c r="I102" s="22" t="str">
        <f>'Derived 5Y Spreads'!A102</f>
        <v>screenshot-reference-20260824-v1</v>
      </c>
      <c r="J102" s="22" t="str">
        <f>'Derived 5Y Spreads'!D102</f>
        <v>SCREENSHOT.AMZN.5Y</v>
      </c>
      <c r="K102" s="5"/>
    </row>
    <row r="103" spans="1:11" x14ac:dyDescent="0.25">
      <c r="A103" s="7">
        <v>46204</v>
      </c>
      <c r="B103" s="6" t="s">
        <v>23</v>
      </c>
      <c r="C103" s="23">
        <f>'Derived 5Y Spreads'!G103</f>
        <v>54</v>
      </c>
      <c r="D103" s="24">
        <f>C103-'Derived 5Y Spreads'!G96</f>
        <v>0.28999999999999915</v>
      </c>
      <c r="E103" s="24">
        <f>C103-'Derived 5Y Spreads'!G68</f>
        <v>2</v>
      </c>
      <c r="F103" s="24" t="str">
        <f>IFERROR(NA(),"")</f>
        <v/>
      </c>
      <c r="G103" s="25">
        <f>'Derived 5Y Spreads'!E103</f>
      </c>
      <c r="H103" s="21" t="str">
        <f>'Derived 5Y Spreads'!O103</f>
        <v>stale</v>
      </c>
      <c r="I103" s="26" t="str">
        <f>'Derived 5Y Spreads'!A103</f>
        <v>screenshot-reference-20260824-v1</v>
      </c>
      <c r="J103" s="26" t="str">
        <f>'Derived 5Y Spreads'!D103</f>
        <v>SCREENSHOT.ALPHINC.5Y</v>
      </c>
      <c r="K103" s="9"/>
    </row>
    <row r="104" spans="1:11" x14ac:dyDescent="0.25">
      <c r="A104" s="3">
        <v>46204</v>
      </c>
      <c r="B104" s="2" t="s">
        <v>26</v>
      </c>
      <c r="C104" s="18">
        <f>'Derived 5Y Spreads'!G104</f>
        <v>41.71</v>
      </c>
      <c r="D104" s="19">
        <f>C104-'Derived 5Y Spreads'!G97</f>
        <v>-0.14999999999999858</v>
      </c>
      <c r="E104" s="19">
        <f>C104-'Derived 5Y Spreads'!G69</f>
        <v>1.7100000000000009</v>
      </c>
      <c r="F104" s="19" t="str">
        <f>IFERROR(NA(),"")</f>
        <v/>
      </c>
      <c r="G104" s="20">
        <f>'Derived 5Y Spreads'!E104</f>
      </c>
      <c r="H104" s="21" t="str">
        <f>'Derived 5Y Spreads'!O104</f>
        <v>stale</v>
      </c>
      <c r="I104" s="22" t="str">
        <f>'Derived 5Y Spreads'!A104</f>
        <v>screenshot-reference-20260824-v1</v>
      </c>
      <c r="J104" s="22" t="str">
        <f>'Derived 5Y Spreads'!D104</f>
        <v>SCREENSHOT.MSFT.5Y</v>
      </c>
      <c r="K104" s="5"/>
    </row>
    <row r="105" spans="1:11" x14ac:dyDescent="0.25">
      <c r="A105" s="7">
        <v>46204</v>
      </c>
      <c r="B105" s="6" t="s">
        <v>29</v>
      </c>
      <c r="C105" s="23">
        <f>'Derived 5Y Spreads'!G105</f>
        <v>68.38</v>
      </c>
      <c r="D105" s="24">
        <f>C105-'Derived 5Y Spreads'!G98</f>
        <v>-0.37000000000000455</v>
      </c>
      <c r="E105" s="24">
        <f>C105-'Derived 5Y Spreads'!G70</f>
        <v>-2.6200000000000045</v>
      </c>
      <c r="F105" s="24" t="str">
        <f>IFERROR(NA(),"")</f>
        <v/>
      </c>
      <c r="G105" s="25">
        <f>'Derived 5Y Spreads'!E105</f>
      </c>
      <c r="H105" s="21" t="str">
        <f>'Derived 5Y Spreads'!O105</f>
        <v>stale</v>
      </c>
      <c r="I105" s="26" t="str">
        <f>'Derived 5Y Spreads'!A105</f>
        <v>screenshot-reference-20260824-v1</v>
      </c>
      <c r="J105" s="26" t="str">
        <f>'Derived 5Y Spreads'!D105</f>
        <v>SCREENSHOT.METAPL.5Y</v>
      </c>
      <c r="K105" s="9"/>
    </row>
    <row r="106" spans="1:11" x14ac:dyDescent="0.25">
      <c r="A106" s="3">
        <v>46205</v>
      </c>
      <c r="B106" s="2" t="s">
        <v>9</v>
      </c>
      <c r="C106" s="18">
        <f>'Derived 5Y Spreads'!G106</f>
        <v>170.14</v>
      </c>
      <c r="D106" s="19">
        <f>C106-'Derived 5Y Spreads'!G99</f>
        <v>-0.29000000000002046</v>
      </c>
      <c r="E106" s="19">
        <f>C106-'Derived 5Y Spreads'!G71</f>
        <v>5.429999999999978</v>
      </c>
      <c r="F106" s="19" t="str">
        <f>IFERROR(NA(),"")</f>
        <v/>
      </c>
      <c r="G106" s="20">
        <f>'Derived 5Y Spreads'!E106</f>
      </c>
      <c r="H106" s="21" t="str">
        <f>'Derived 5Y Spreads'!O106</f>
        <v>stale</v>
      </c>
      <c r="I106" s="22" t="str">
        <f>'Derived 5Y Spreads'!A106</f>
        <v>screenshot-reference-20260824-v1</v>
      </c>
      <c r="J106" s="22" t="str">
        <f>'Derived 5Y Spreads'!D106</f>
        <v>SCREENSHOT.ORCLE.5Y</v>
      </c>
      <c r="K106" s="5"/>
    </row>
    <row r="107" spans="1:11" x14ac:dyDescent="0.25">
      <c r="A107" s="7">
        <v>46205</v>
      </c>
      <c r="B107" s="6" t="s">
        <v>14</v>
      </c>
      <c r="C107" s="23">
        <f>'Derived 5Y Spreads'!G107</f>
        <v>585</v>
      </c>
      <c r="D107" s="24">
        <f>C107-'Derived 5Y Spreads'!G100</f>
        <v>11.669999999999959</v>
      </c>
      <c r="E107" s="24">
        <f>C107-'Derived 5Y Spreads'!G72</f>
        <v>31</v>
      </c>
      <c r="F107" s="24" t="str">
        <f>IFERROR(NA(),"")</f>
        <v/>
      </c>
      <c r="G107" s="25">
        <f>'Derived 5Y Spreads'!E107</f>
      </c>
      <c r="H107" s="21" t="str">
        <f>'Derived 5Y Spreads'!O107</f>
        <v>stale</v>
      </c>
      <c r="I107" s="26" t="str">
        <f>'Derived 5Y Spreads'!A107</f>
        <v>screenshot-reference-20260824-v1</v>
      </c>
      <c r="J107" s="26" t="str">
        <f>'Derived 5Y Spreads'!D107</f>
        <v>SCREENSHOT.COREWEI.5Y</v>
      </c>
      <c r="K107" s="9"/>
    </row>
    <row r="108" spans="1:11" x14ac:dyDescent="0.25">
      <c r="A108" s="3">
        <v>46205</v>
      </c>
      <c r="B108" s="2" t="s">
        <v>17</v>
      </c>
      <c r="C108" s="18">
        <f>'Derived 5Y Spreads'!G108</f>
        <v>45.67</v>
      </c>
      <c r="D108" s="19">
        <f>C108-'Derived 5Y Spreads'!G101</f>
        <v>-0.10999999999999943</v>
      </c>
      <c r="E108" s="19">
        <f>C108-'Derived 5Y Spreads'!G73</f>
        <v>3.1000000000000014</v>
      </c>
      <c r="F108" s="19" t="str">
        <f>IFERROR(NA(),"")</f>
        <v/>
      </c>
      <c r="G108" s="20">
        <f>'Derived 5Y Spreads'!E108</f>
      </c>
      <c r="H108" s="21" t="str">
        <f>'Derived 5Y Spreads'!O108</f>
        <v>stale</v>
      </c>
      <c r="I108" s="22" t="str">
        <f>'Derived 5Y Spreads'!A108</f>
        <v>screenshot-reference-20260824-v1</v>
      </c>
      <c r="J108" s="22" t="str">
        <f>'Derived 5Y Spreads'!D108</f>
        <v>SCREENSHOT.NVIDIA.5Y</v>
      </c>
      <c r="K108" s="5"/>
    </row>
    <row r="109" spans="1:11" x14ac:dyDescent="0.25">
      <c r="A109" s="7">
        <v>46205</v>
      </c>
      <c r="B109" s="6" t="s">
        <v>20</v>
      </c>
      <c r="C109" s="23">
        <f>'Derived 5Y Spreads'!G109</f>
        <v>55</v>
      </c>
      <c r="D109" s="24">
        <f>C109-'Derived 5Y Spreads'!G102</f>
        <v>0.11999999999999744</v>
      </c>
      <c r="E109" s="24">
        <f>C109-'Derived 5Y Spreads'!G74</f>
        <v>0.8699999999999974</v>
      </c>
      <c r="F109" s="24" t="str">
        <f>IFERROR(NA(),"")</f>
        <v/>
      </c>
      <c r="G109" s="25">
        <f>'Derived 5Y Spreads'!E109</f>
      </c>
      <c r="H109" s="21" t="str">
        <f>'Derived 5Y Spreads'!O109</f>
        <v>stale</v>
      </c>
      <c r="I109" s="26" t="str">
        <f>'Derived 5Y Spreads'!A109</f>
        <v>screenshot-reference-20260824-v1</v>
      </c>
      <c r="J109" s="26" t="str">
        <f>'Derived 5Y Spreads'!D109</f>
        <v>SCREENSHOT.AMZN.5Y</v>
      </c>
      <c r="K109" s="9"/>
    </row>
    <row r="110" spans="1:11" x14ac:dyDescent="0.25">
      <c r="A110" s="3">
        <v>46205</v>
      </c>
      <c r="B110" s="2" t="s">
        <v>23</v>
      </c>
      <c r="C110" s="18">
        <f>'Derived 5Y Spreads'!G110</f>
        <v>53.8</v>
      </c>
      <c r="D110" s="19">
        <f>C110-'Derived 5Y Spreads'!G103</f>
        <v>-0.20000000000000284</v>
      </c>
      <c r="E110" s="19">
        <f>C110-'Derived 5Y Spreads'!G75</f>
        <v>1.509999999999998</v>
      </c>
      <c r="F110" s="19" t="str">
        <f>IFERROR(NA(),"")</f>
        <v/>
      </c>
      <c r="G110" s="20">
        <f>'Derived 5Y Spreads'!E110</f>
      </c>
      <c r="H110" s="21" t="str">
        <f>'Derived 5Y Spreads'!O110</f>
        <v>stale</v>
      </c>
      <c r="I110" s="22" t="str">
        <f>'Derived 5Y Spreads'!A110</f>
        <v>screenshot-reference-20260824-v1</v>
      </c>
      <c r="J110" s="22" t="str">
        <f>'Derived 5Y Spreads'!D110</f>
        <v>SCREENSHOT.ALPHINC.5Y</v>
      </c>
      <c r="K110" s="5"/>
    </row>
    <row r="111" spans="1:11" x14ac:dyDescent="0.25">
      <c r="A111" s="7">
        <v>46205</v>
      </c>
      <c r="B111" s="6" t="s">
        <v>26</v>
      </c>
      <c r="C111" s="23">
        <f>'Derived 5Y Spreads'!G111</f>
        <v>41.57</v>
      </c>
      <c r="D111" s="24">
        <f>C111-'Derived 5Y Spreads'!G104</f>
        <v>-0.14000000000000057</v>
      </c>
      <c r="E111" s="24">
        <f>C111-'Derived 5Y Spreads'!G76</f>
        <v>1.1700000000000017</v>
      </c>
      <c r="F111" s="24" t="str">
        <f>IFERROR(NA(),"")</f>
        <v/>
      </c>
      <c r="G111" s="25">
        <f>'Derived 5Y Spreads'!E111</f>
      </c>
      <c r="H111" s="21" t="str">
        <f>'Derived 5Y Spreads'!O111</f>
        <v>stale</v>
      </c>
      <c r="I111" s="26" t="str">
        <f>'Derived 5Y Spreads'!A111</f>
        <v>screenshot-reference-20260824-v1</v>
      </c>
      <c r="J111" s="26" t="str">
        <f>'Derived 5Y Spreads'!D111</f>
        <v>SCREENSHOT.MSFT.5Y</v>
      </c>
      <c r="K111" s="9"/>
    </row>
    <row r="112" spans="1:11" x14ac:dyDescent="0.25">
      <c r="A112" s="3">
        <v>46205</v>
      </c>
      <c r="B112" s="2" t="s">
        <v>29</v>
      </c>
      <c r="C112" s="18">
        <f>'Derived 5Y Spreads'!G112</f>
        <v>68</v>
      </c>
      <c r="D112" s="19">
        <f>C112-'Derived 5Y Spreads'!G105</f>
        <v>-0.37999999999999545</v>
      </c>
      <c r="E112" s="19">
        <f>C112-'Derived 5Y Spreads'!G77</f>
        <v>-2.6299999999999955</v>
      </c>
      <c r="F112" s="19" t="str">
        <f>IFERROR(NA(),"")</f>
        <v/>
      </c>
      <c r="G112" s="20">
        <f>'Derived 5Y Spreads'!E112</f>
      </c>
      <c r="H112" s="21" t="str">
        <f>'Derived 5Y Spreads'!O112</f>
        <v>stale</v>
      </c>
      <c r="I112" s="22" t="str">
        <f>'Derived 5Y Spreads'!A112</f>
        <v>screenshot-reference-20260824-v1</v>
      </c>
      <c r="J112" s="22" t="str">
        <f>'Derived 5Y Spreads'!D112</f>
        <v>SCREENSHOT.METAPL.5Y</v>
      </c>
      <c r="K112" s="5"/>
    </row>
    <row r="113" spans="1:11" x14ac:dyDescent="0.25">
      <c r="A113" s="7">
        <v>46206</v>
      </c>
      <c r="B113" s="6" t="s">
        <v>9</v>
      </c>
      <c r="C113" s="23">
        <f>'Derived 5Y Spreads'!G113</f>
        <v>169.86</v>
      </c>
      <c r="D113" s="24">
        <f>C113-'Derived 5Y Spreads'!G106</f>
        <v>-0.2799999999999727</v>
      </c>
      <c r="E113" s="24">
        <f>C113-'Derived 5Y Spreads'!G78</f>
        <v>3.5700000000000216</v>
      </c>
      <c r="F113" s="24" t="str">
        <f>IFERROR(NA(),"")</f>
        <v/>
      </c>
      <c r="G113" s="25">
        <f>'Derived 5Y Spreads'!E113</f>
      </c>
      <c r="H113" s="21" t="str">
        <f>'Derived 5Y Spreads'!O113</f>
        <v>stale</v>
      </c>
      <c r="I113" s="26" t="str">
        <f>'Derived 5Y Spreads'!A113</f>
        <v>screenshot-reference-20260824-v1</v>
      </c>
      <c r="J113" s="26" t="str">
        <f>'Derived 5Y Spreads'!D113</f>
        <v>SCREENSHOT.ORCLE.5Y</v>
      </c>
      <c r="K113" s="9"/>
    </row>
    <row r="114" spans="1:11" x14ac:dyDescent="0.25">
      <c r="A114" s="3">
        <v>46206</v>
      </c>
      <c r="B114" s="2" t="s">
        <v>14</v>
      </c>
      <c r="C114" s="18">
        <f>'Derived 5Y Spreads'!G114</f>
        <v>587.5</v>
      </c>
      <c r="D114" s="19">
        <f>C114-'Derived 5Y Spreads'!G107</f>
        <v>2.5</v>
      </c>
      <c r="E114" s="19">
        <f>C114-'Derived 5Y Spreads'!G79</f>
        <v>34.5</v>
      </c>
      <c r="F114" s="19" t="str">
        <f>IFERROR(NA(),"")</f>
        <v/>
      </c>
      <c r="G114" s="20">
        <f>'Derived 5Y Spreads'!E114</f>
      </c>
      <c r="H114" s="21" t="str">
        <f>'Derived 5Y Spreads'!O114</f>
        <v>stale</v>
      </c>
      <c r="I114" s="22" t="str">
        <f>'Derived 5Y Spreads'!A114</f>
        <v>screenshot-reference-20260824-v1</v>
      </c>
      <c r="J114" s="22" t="str">
        <f>'Derived 5Y Spreads'!D114</f>
        <v>SCREENSHOT.COREWEI.5Y</v>
      </c>
      <c r="K114" s="5"/>
    </row>
    <row r="115" spans="1:11" x14ac:dyDescent="0.25">
      <c r="A115" s="7">
        <v>46206</v>
      </c>
      <c r="B115" s="6" t="s">
        <v>17</v>
      </c>
      <c r="C115" s="23">
        <f>'Derived 5Y Spreads'!G115</f>
        <v>45.56</v>
      </c>
      <c r="D115" s="24">
        <f>C115-'Derived 5Y Spreads'!G108</f>
        <v>-0.10999999999999943</v>
      </c>
      <c r="E115" s="24">
        <f>C115-'Derived 5Y Spreads'!G80</f>
        <v>2.1300000000000026</v>
      </c>
      <c r="F115" s="24" t="str">
        <f>IFERROR(NA(),"")</f>
        <v/>
      </c>
      <c r="G115" s="25">
        <f>'Derived 5Y Spreads'!E115</f>
      </c>
      <c r="H115" s="21" t="str">
        <f>'Derived 5Y Spreads'!O115</f>
        <v>stale</v>
      </c>
      <c r="I115" s="26" t="str">
        <f>'Derived 5Y Spreads'!A115</f>
        <v>screenshot-reference-20260824-v1</v>
      </c>
      <c r="J115" s="26" t="str">
        <f>'Derived 5Y Spreads'!D115</f>
        <v>SCREENSHOT.NVIDIA.5Y</v>
      </c>
      <c r="K115" s="9"/>
    </row>
    <row r="116" spans="1:11" x14ac:dyDescent="0.25">
      <c r="A116" s="3">
        <v>46206</v>
      </c>
      <c r="B116" s="2" t="s">
        <v>20</v>
      </c>
      <c r="C116" s="18">
        <f>'Derived 5Y Spreads'!G116</f>
        <v>54.5</v>
      </c>
      <c r="D116" s="19">
        <f>C116-'Derived 5Y Spreads'!G109</f>
        <v>-0.5</v>
      </c>
      <c r="E116" s="19">
        <f>C116-'Derived 5Y Spreads'!G81</f>
        <v>0.25</v>
      </c>
      <c r="F116" s="19" t="str">
        <f>IFERROR(NA(),"")</f>
        <v/>
      </c>
      <c r="G116" s="20">
        <f>'Derived 5Y Spreads'!E116</f>
      </c>
      <c r="H116" s="21" t="str">
        <f>'Derived 5Y Spreads'!O116</f>
        <v>stale</v>
      </c>
      <c r="I116" s="22" t="str">
        <f>'Derived 5Y Spreads'!A116</f>
        <v>screenshot-reference-20260824-v1</v>
      </c>
      <c r="J116" s="22" t="str">
        <f>'Derived 5Y Spreads'!D116</f>
        <v>SCREENSHOT.AMZN.5Y</v>
      </c>
      <c r="K116" s="5"/>
    </row>
    <row r="117" spans="1:11" x14ac:dyDescent="0.25">
      <c r="A117" s="7">
        <v>46206</v>
      </c>
      <c r="B117" s="6" t="s">
        <v>23</v>
      </c>
      <c r="C117" s="23">
        <f>'Derived 5Y Spreads'!G117</f>
        <v>53.6</v>
      </c>
      <c r="D117" s="24">
        <f>C117-'Derived 5Y Spreads'!G110</f>
        <v>-0.19999999999999574</v>
      </c>
      <c r="E117" s="24">
        <f>C117-'Derived 5Y Spreads'!G82</f>
        <v>1.0300000000000011</v>
      </c>
      <c r="F117" s="24" t="str">
        <f>IFERROR(NA(),"")</f>
        <v/>
      </c>
      <c r="G117" s="25">
        <f>'Derived 5Y Spreads'!E117</f>
      </c>
      <c r="H117" s="21" t="str">
        <f>'Derived 5Y Spreads'!O117</f>
        <v>stale</v>
      </c>
      <c r="I117" s="26" t="str">
        <f>'Derived 5Y Spreads'!A117</f>
        <v>screenshot-reference-20260824-v1</v>
      </c>
      <c r="J117" s="26" t="str">
        <f>'Derived 5Y Spreads'!D117</f>
        <v>SCREENSHOT.ALPHINC.5Y</v>
      </c>
      <c r="K117" s="9"/>
    </row>
    <row r="118" spans="1:11" x14ac:dyDescent="0.25">
      <c r="A118" s="3">
        <v>46206</v>
      </c>
      <c r="B118" s="2" t="s">
        <v>26</v>
      </c>
      <c r="C118" s="18">
        <f>'Derived 5Y Spreads'!G118</f>
        <v>41.43</v>
      </c>
      <c r="D118" s="19">
        <f>C118-'Derived 5Y Spreads'!G111</f>
        <v>-0.14000000000000057</v>
      </c>
      <c r="E118" s="19">
        <f>C118-'Derived 5Y Spreads'!G83</f>
        <v>0.6300000000000026</v>
      </c>
      <c r="F118" s="19" t="str">
        <f>IFERROR(NA(),"")</f>
        <v/>
      </c>
      <c r="G118" s="20">
        <f>'Derived 5Y Spreads'!E118</f>
      </c>
      <c r="H118" s="21" t="str">
        <f>'Derived 5Y Spreads'!O118</f>
        <v>stale</v>
      </c>
      <c r="I118" s="22" t="str">
        <f>'Derived 5Y Spreads'!A118</f>
        <v>screenshot-reference-20260824-v1</v>
      </c>
      <c r="J118" s="22" t="str">
        <f>'Derived 5Y Spreads'!D118</f>
        <v>SCREENSHOT.MSFT.5Y</v>
      </c>
      <c r="K118" s="5"/>
    </row>
    <row r="119" spans="1:11" x14ac:dyDescent="0.25">
      <c r="A119" s="7">
        <v>46206</v>
      </c>
      <c r="B119" s="6" t="s">
        <v>29</v>
      </c>
      <c r="C119" s="23">
        <f>'Derived 5Y Spreads'!G119</f>
        <v>68.25</v>
      </c>
      <c r="D119" s="24">
        <f>C119-'Derived 5Y Spreads'!G112</f>
        <v>0.25</v>
      </c>
      <c r="E119" s="24">
        <f>C119-'Derived 5Y Spreads'!G84</f>
        <v>-2</v>
      </c>
      <c r="F119" s="24" t="str">
        <f>IFERROR(NA(),"")</f>
        <v/>
      </c>
      <c r="G119" s="25">
        <f>'Derived 5Y Spreads'!E119</f>
      </c>
      <c r="H119" s="21" t="str">
        <f>'Derived 5Y Spreads'!O119</f>
        <v>stale</v>
      </c>
      <c r="I119" s="26" t="str">
        <f>'Derived 5Y Spreads'!A119</f>
        <v>screenshot-reference-20260824-v1</v>
      </c>
      <c r="J119" s="26" t="str">
        <f>'Derived 5Y Spreads'!D119</f>
        <v>SCREENSHOT.METAPL.5Y</v>
      </c>
      <c r="K119" s="9"/>
    </row>
    <row r="120" spans="1:11" x14ac:dyDescent="0.25">
      <c r="A120" s="3">
        <v>46209</v>
      </c>
      <c r="B120" s="2" t="s">
        <v>9</v>
      </c>
      <c r="C120" s="18">
        <f>'Derived 5Y Spreads'!G120</f>
        <v>169</v>
      </c>
      <c r="D120" s="19">
        <f>C120-'Derived 5Y Spreads'!G113</f>
        <v>-0.8600000000000136</v>
      </c>
      <c r="E120" s="19">
        <f>C120-'Derived 5Y Spreads'!G85</f>
        <v>-2</v>
      </c>
      <c r="F120" s="19" t="str">
        <f>IFERROR(NA(),"")</f>
        <v/>
      </c>
      <c r="G120" s="20">
        <f>'Derived 5Y Spreads'!E120</f>
      </c>
      <c r="H120" s="21" t="str">
        <f>'Derived 5Y Spreads'!O120</f>
        <v>stale</v>
      </c>
      <c r="I120" s="22" t="str">
        <f>'Derived 5Y Spreads'!A120</f>
        <v>screenshot-reference-20260824-v1</v>
      </c>
      <c r="J120" s="22" t="str">
        <f>'Derived 5Y Spreads'!D120</f>
        <v>SCREENSHOT.ORCLE.5Y</v>
      </c>
      <c r="K120" s="5"/>
    </row>
    <row r="121" spans="1:11" x14ac:dyDescent="0.25">
      <c r="A121" s="7">
        <v>46209</v>
      </c>
      <c r="B121" s="6" t="s">
        <v>14</v>
      </c>
      <c r="C121" s="23">
        <f>'Derived 5Y Spreads'!G121</f>
        <v>595</v>
      </c>
      <c r="D121" s="24">
        <f>C121-'Derived 5Y Spreads'!G114</f>
        <v>7.5</v>
      </c>
      <c r="E121" s="24">
        <f>C121-'Derived 5Y Spreads'!G86</f>
        <v>45</v>
      </c>
      <c r="F121" s="24" t="str">
        <f>IFERROR(NA(),"")</f>
        <v/>
      </c>
      <c r="G121" s="25">
        <f>'Derived 5Y Spreads'!E121</f>
      </c>
      <c r="H121" s="21" t="str">
        <f>'Derived 5Y Spreads'!O121</f>
        <v>stale</v>
      </c>
      <c r="I121" s="26" t="str">
        <f>'Derived 5Y Spreads'!A121</f>
        <v>screenshot-reference-20260824-v1</v>
      </c>
      <c r="J121" s="26" t="str">
        <f>'Derived 5Y Spreads'!D121</f>
        <v>SCREENSHOT.COREWEI.5Y</v>
      </c>
      <c r="K121" s="9"/>
    </row>
    <row r="122" spans="1:11" x14ac:dyDescent="0.25">
      <c r="A122" s="3">
        <v>46209</v>
      </c>
      <c r="B122" s="2" t="s">
        <v>17</v>
      </c>
      <c r="C122" s="18">
        <f>'Derived 5Y Spreads'!G122</f>
        <v>45.22</v>
      </c>
      <c r="D122" s="19">
        <f>C122-'Derived 5Y Spreads'!G115</f>
        <v>-0.3400000000000034</v>
      </c>
      <c r="E122" s="19">
        <f>C122-'Derived 5Y Spreads'!G87</f>
        <v>-0.7800000000000011</v>
      </c>
      <c r="F122" s="19" t="str">
        <f>IFERROR(NA(),"")</f>
        <v/>
      </c>
      <c r="G122" s="20">
        <f>'Derived 5Y Spreads'!E122</f>
      </c>
      <c r="H122" s="21" t="str">
        <f>'Derived 5Y Spreads'!O122</f>
        <v>stale</v>
      </c>
      <c r="I122" s="22" t="str">
        <f>'Derived 5Y Spreads'!A122</f>
        <v>screenshot-reference-20260824-v1</v>
      </c>
      <c r="J122" s="22" t="str">
        <f>'Derived 5Y Spreads'!D122</f>
        <v>SCREENSHOT.NVIDIA.5Y</v>
      </c>
      <c r="K122" s="5"/>
    </row>
    <row r="123" spans="1:11" x14ac:dyDescent="0.25">
      <c r="A123" s="7">
        <v>46209</v>
      </c>
      <c r="B123" s="6" t="s">
        <v>20</v>
      </c>
      <c r="C123" s="23">
        <f>'Derived 5Y Spreads'!G123</f>
        <v>53</v>
      </c>
      <c r="D123" s="24">
        <f>C123-'Derived 5Y Spreads'!G116</f>
        <v>-1.5</v>
      </c>
      <c r="E123" s="24">
        <f>C123-'Derived 5Y Spreads'!G88</f>
        <v>-1.6300000000000026</v>
      </c>
      <c r="F123" s="24" t="str">
        <f>IFERROR(NA(),"")</f>
        <v/>
      </c>
      <c r="G123" s="25">
        <f>'Derived 5Y Spreads'!E123</f>
      </c>
      <c r="H123" s="21" t="str">
        <f>'Derived 5Y Spreads'!O123</f>
        <v>stale</v>
      </c>
      <c r="I123" s="26" t="str">
        <f>'Derived 5Y Spreads'!A123</f>
        <v>screenshot-reference-20260824-v1</v>
      </c>
      <c r="J123" s="26" t="str">
        <f>'Derived 5Y Spreads'!D123</f>
        <v>SCREENSHOT.AMZN.5Y</v>
      </c>
      <c r="K123" s="9"/>
    </row>
    <row r="124" spans="1:11" x14ac:dyDescent="0.25">
      <c r="A124" s="3">
        <v>46209</v>
      </c>
      <c r="B124" s="2" t="s">
        <v>23</v>
      </c>
      <c r="C124" s="18">
        <f>'Derived 5Y Spreads'!G124</f>
        <v>53</v>
      </c>
      <c r="D124" s="19">
        <f>C124-'Derived 5Y Spreads'!G117</f>
        <v>-0.6000000000000014</v>
      </c>
      <c r="E124" s="19">
        <f>C124-'Derived 5Y Spreads'!G89</f>
        <v>-0.4299999999999997</v>
      </c>
      <c r="F124" s="19" t="str">
        <f>IFERROR(NA(),"")</f>
        <v/>
      </c>
      <c r="G124" s="20">
        <f>'Derived 5Y Spreads'!E124</f>
      </c>
      <c r="H124" s="21" t="str">
        <f>'Derived 5Y Spreads'!O124</f>
        <v>stale</v>
      </c>
      <c r="I124" s="22" t="str">
        <f>'Derived 5Y Spreads'!A124</f>
        <v>screenshot-reference-20260824-v1</v>
      </c>
      <c r="J124" s="22" t="str">
        <f>'Derived 5Y Spreads'!D124</f>
        <v>SCREENSHOT.ALPHINC.5Y</v>
      </c>
      <c r="K124" s="5"/>
    </row>
    <row r="125" spans="1:11" x14ac:dyDescent="0.25">
      <c r="A125" s="7">
        <v>46209</v>
      </c>
      <c r="B125" s="6" t="s">
        <v>26</v>
      </c>
      <c r="C125" s="23">
        <f>'Derived 5Y Spreads'!G125</f>
        <v>41</v>
      </c>
      <c r="D125" s="24">
        <f>C125-'Derived 5Y Spreads'!G118</f>
        <v>-0.4299999999999997</v>
      </c>
      <c r="E125" s="24">
        <f>C125-'Derived 5Y Spreads'!G90</f>
        <v>-1</v>
      </c>
      <c r="F125" s="24" t="str">
        <f>IFERROR(NA(),"")</f>
        <v/>
      </c>
      <c r="G125" s="25">
        <f>'Derived 5Y Spreads'!E125</f>
      </c>
      <c r="H125" s="21" t="str">
        <f>'Derived 5Y Spreads'!O125</f>
        <v>stale</v>
      </c>
      <c r="I125" s="26" t="str">
        <f>'Derived 5Y Spreads'!A125</f>
        <v>screenshot-reference-20260824-v1</v>
      </c>
      <c r="J125" s="26" t="str">
        <f>'Derived 5Y Spreads'!D125</f>
        <v>SCREENSHOT.MSFT.5Y</v>
      </c>
      <c r="K125" s="9"/>
    </row>
    <row r="126" spans="1:11" x14ac:dyDescent="0.25">
      <c r="A126" s="3">
        <v>46209</v>
      </c>
      <c r="B126" s="2" t="s">
        <v>29</v>
      </c>
      <c r="C126" s="18">
        <f>'Derived 5Y Spreads'!G126</f>
        <v>69</v>
      </c>
      <c r="D126" s="19">
        <f>C126-'Derived 5Y Spreads'!G119</f>
        <v>0.75</v>
      </c>
      <c r="E126" s="19">
        <f>C126-'Derived 5Y Spreads'!G91</f>
        <v>-0.12999999999999545</v>
      </c>
      <c r="F126" s="19" t="str">
        <f>IFERROR(NA(),"")</f>
        <v/>
      </c>
      <c r="G126" s="20">
        <f>'Derived 5Y Spreads'!E126</f>
      </c>
      <c r="H126" s="21" t="str">
        <f>'Derived 5Y Spreads'!O126</f>
        <v>stale</v>
      </c>
      <c r="I126" s="22" t="str">
        <f>'Derived 5Y Spreads'!A126</f>
        <v>screenshot-reference-20260824-v1</v>
      </c>
      <c r="J126" s="22" t="str">
        <f>'Derived 5Y Spreads'!D126</f>
        <v>SCREENSHOT.METAPL.5Y</v>
      </c>
      <c r="K126" s="5"/>
    </row>
    <row r="127" spans="1:11" x14ac:dyDescent="0.25">
      <c r="A127" s="7">
        <v>46210</v>
      </c>
      <c r="B127" s="6" t="s">
        <v>9</v>
      </c>
      <c r="C127" s="23">
        <f>'Derived 5Y Spreads'!G127</f>
        <v>171.57</v>
      </c>
      <c r="D127" s="24">
        <f>C127-'Derived 5Y Spreads'!G120</f>
        <v>2.569999999999993</v>
      </c>
      <c r="E127" s="24">
        <f>C127-'Derived 5Y Spreads'!G92</f>
        <v>0.8599999999999852</v>
      </c>
      <c r="F127" s="24" t="str">
        <f>IFERROR(NA(),"")</f>
        <v/>
      </c>
      <c r="G127" s="25">
        <f>'Derived 5Y Spreads'!E127</f>
      </c>
      <c r="H127" s="21" t="str">
        <f>'Derived 5Y Spreads'!O127</f>
        <v>stale</v>
      </c>
      <c r="I127" s="26" t="str">
        <f>'Derived 5Y Spreads'!A127</f>
        <v>screenshot-reference-20260824-v1</v>
      </c>
      <c r="J127" s="26" t="str">
        <f>'Derived 5Y Spreads'!D127</f>
        <v>SCREENSHOT.ORCLE.5Y</v>
      </c>
      <c r="K127" s="9"/>
    </row>
    <row r="128" spans="1:11" x14ac:dyDescent="0.25">
      <c r="A128" s="3">
        <v>46210</v>
      </c>
      <c r="B128" s="2" t="s">
        <v>14</v>
      </c>
      <c r="C128" s="18">
        <f>'Derived 5Y Spreads'!G128</f>
        <v>597.5</v>
      </c>
      <c r="D128" s="19">
        <f>C128-'Derived 5Y Spreads'!G121</f>
        <v>2.5</v>
      </c>
      <c r="E128" s="19">
        <f>C128-'Derived 5Y Spreads'!G93</f>
        <v>35.83000000000004</v>
      </c>
      <c r="F128" s="19" t="str">
        <f>IFERROR(NA(),"")</f>
        <v/>
      </c>
      <c r="G128" s="20">
        <f>'Derived 5Y Spreads'!E128</f>
      </c>
      <c r="H128" s="21" t="str">
        <f>'Derived 5Y Spreads'!O128</f>
        <v>stale</v>
      </c>
      <c r="I128" s="22" t="str">
        <f>'Derived 5Y Spreads'!A128</f>
        <v>screenshot-reference-20260824-v1</v>
      </c>
      <c r="J128" s="22" t="str">
        <f>'Derived 5Y Spreads'!D128</f>
        <v>SCREENSHOT.COREWEI.5Y</v>
      </c>
      <c r="K128" s="5"/>
    </row>
    <row r="129" spans="1:11" x14ac:dyDescent="0.25">
      <c r="A129" s="7">
        <v>46210</v>
      </c>
      <c r="B129" s="6" t="s">
        <v>17</v>
      </c>
      <c r="C129" s="23">
        <f>'Derived 5Y Spreads'!G129</f>
        <v>45.11</v>
      </c>
      <c r="D129" s="24">
        <f>C129-'Derived 5Y Spreads'!G122</f>
        <v>-0.10999999999999943</v>
      </c>
      <c r="E129" s="24">
        <f>C129-'Derived 5Y Spreads'!G94</f>
        <v>-0.7800000000000011</v>
      </c>
      <c r="F129" s="24" t="str">
        <f>IFERROR(NA(),"")</f>
        <v/>
      </c>
      <c r="G129" s="25">
        <f>'Derived 5Y Spreads'!E129</f>
      </c>
      <c r="H129" s="21" t="str">
        <f>'Derived 5Y Spreads'!O129</f>
        <v>stale</v>
      </c>
      <c r="I129" s="26" t="str">
        <f>'Derived 5Y Spreads'!A129</f>
        <v>screenshot-reference-20260824-v1</v>
      </c>
      <c r="J129" s="26" t="str">
        <f>'Derived 5Y Spreads'!D129</f>
        <v>SCREENSHOT.NVIDIA.5Y</v>
      </c>
      <c r="K129" s="9"/>
    </row>
    <row r="130" spans="1:11" x14ac:dyDescent="0.25">
      <c r="A130" s="3">
        <v>46210</v>
      </c>
      <c r="B130" s="2" t="s">
        <v>20</v>
      </c>
      <c r="C130" s="18">
        <f>'Derived 5Y Spreads'!G130</f>
        <v>54</v>
      </c>
      <c r="D130" s="19">
        <f>C130-'Derived 5Y Spreads'!G123</f>
        <v>1</v>
      </c>
      <c r="E130" s="19">
        <f>C130-'Derived 5Y Spreads'!G95</f>
        <v>-0.75</v>
      </c>
      <c r="F130" s="19" t="str">
        <f>IFERROR(NA(),"")</f>
        <v/>
      </c>
      <c r="G130" s="20">
        <f>'Derived 5Y Spreads'!E130</f>
      </c>
      <c r="H130" s="21" t="str">
        <f>'Derived 5Y Spreads'!O130</f>
        <v>stale</v>
      </c>
      <c r="I130" s="22" t="str">
        <f>'Derived 5Y Spreads'!A130</f>
        <v>screenshot-reference-20260824-v1</v>
      </c>
      <c r="J130" s="22" t="str">
        <f>'Derived 5Y Spreads'!D130</f>
        <v>SCREENSHOT.AMZN.5Y</v>
      </c>
      <c r="K130" s="5"/>
    </row>
    <row r="131" spans="1:11" x14ac:dyDescent="0.25">
      <c r="A131" s="7">
        <v>46210</v>
      </c>
      <c r="B131" s="6" t="s">
        <v>23</v>
      </c>
      <c r="C131" s="23">
        <f>'Derived 5Y Spreads'!G131</f>
        <v>54</v>
      </c>
      <c r="D131" s="24">
        <f>C131-'Derived 5Y Spreads'!G124</f>
        <v>1</v>
      </c>
      <c r="E131" s="24">
        <f>C131-'Derived 5Y Spreads'!G96</f>
        <v>0.28999999999999915</v>
      </c>
      <c r="F131" s="24" t="str">
        <f>IFERROR(NA(),"")</f>
        <v/>
      </c>
      <c r="G131" s="25">
        <f>'Derived 5Y Spreads'!E131</f>
      </c>
      <c r="H131" s="21" t="str">
        <f>'Derived 5Y Spreads'!O131</f>
        <v>stale</v>
      </c>
      <c r="I131" s="26" t="str">
        <f>'Derived 5Y Spreads'!A131</f>
        <v>screenshot-reference-20260824-v1</v>
      </c>
      <c r="J131" s="26" t="str">
        <f>'Derived 5Y Spreads'!D131</f>
        <v>SCREENSHOT.ALPHINC.5Y</v>
      </c>
      <c r="K131" s="9"/>
    </row>
    <row r="132" spans="1:11" x14ac:dyDescent="0.25">
      <c r="A132" s="3">
        <v>46210</v>
      </c>
      <c r="B132" s="2" t="s">
        <v>26</v>
      </c>
      <c r="C132" s="18">
        <f>'Derived 5Y Spreads'!G132</f>
        <v>42</v>
      </c>
      <c r="D132" s="19">
        <f>C132-'Derived 5Y Spreads'!G125</f>
        <v>1</v>
      </c>
      <c r="E132" s="19">
        <f>C132-'Derived 5Y Spreads'!G97</f>
        <v>0.14000000000000057</v>
      </c>
      <c r="F132" s="19" t="str">
        <f>IFERROR(NA(),"")</f>
        <v/>
      </c>
      <c r="G132" s="20">
        <f>'Derived 5Y Spreads'!E132</f>
      </c>
      <c r="H132" s="21" t="str">
        <f>'Derived 5Y Spreads'!O132</f>
        <v>stale</v>
      </c>
      <c r="I132" s="22" t="str">
        <f>'Derived 5Y Spreads'!A132</f>
        <v>screenshot-reference-20260824-v1</v>
      </c>
      <c r="J132" s="22" t="str">
        <f>'Derived 5Y Spreads'!D132</f>
        <v>SCREENSHOT.MSFT.5Y</v>
      </c>
      <c r="K132" s="5"/>
    </row>
    <row r="133" spans="1:11" x14ac:dyDescent="0.25">
      <c r="A133" s="7">
        <v>46210</v>
      </c>
      <c r="B133" s="6" t="s">
        <v>29</v>
      </c>
      <c r="C133" s="23">
        <f>'Derived 5Y Spreads'!G133</f>
        <v>70.43</v>
      </c>
      <c r="D133" s="24">
        <f>C133-'Derived 5Y Spreads'!G126</f>
        <v>1.4300000000000068</v>
      </c>
      <c r="E133" s="24">
        <f>C133-'Derived 5Y Spreads'!G98</f>
        <v>1.6800000000000068</v>
      </c>
      <c r="F133" s="24" t="str">
        <f>IFERROR(NA(),"")</f>
        <v/>
      </c>
      <c r="G133" s="25">
        <f>'Derived 5Y Spreads'!E133</f>
      </c>
      <c r="H133" s="21" t="str">
        <f>'Derived 5Y Spreads'!O133</f>
        <v>stale</v>
      </c>
      <c r="I133" s="26" t="str">
        <f>'Derived 5Y Spreads'!A133</f>
        <v>screenshot-reference-20260824-v1</v>
      </c>
      <c r="J133" s="26" t="str">
        <f>'Derived 5Y Spreads'!D133</f>
        <v>SCREENSHOT.METAPL.5Y</v>
      </c>
      <c r="K133" s="9"/>
    </row>
    <row r="134" spans="1:11" x14ac:dyDescent="0.25">
      <c r="A134" s="3">
        <v>46211</v>
      </c>
      <c r="B134" s="2" t="s">
        <v>9</v>
      </c>
      <c r="C134" s="18">
        <f>'Derived 5Y Spreads'!G134</f>
        <v>174.14</v>
      </c>
      <c r="D134" s="19">
        <f>C134-'Derived 5Y Spreads'!G127</f>
        <v>2.569999999999993</v>
      </c>
      <c r="E134" s="19">
        <f>C134-'Derived 5Y Spreads'!G99</f>
        <v>3.7099999999999795</v>
      </c>
      <c r="F134" s="19" t="str">
        <f>IFERROR(NA(),"")</f>
        <v/>
      </c>
      <c r="G134" s="20">
        <f>'Derived 5Y Spreads'!E134</f>
      </c>
      <c r="H134" s="21" t="str">
        <f>'Derived 5Y Spreads'!O134</f>
        <v>stale</v>
      </c>
      <c r="I134" s="22" t="str">
        <f>'Derived 5Y Spreads'!A134</f>
        <v>screenshot-reference-20260824-v1</v>
      </c>
      <c r="J134" s="22" t="str">
        <f>'Derived 5Y Spreads'!D134</f>
        <v>SCREENSHOT.ORCLE.5Y</v>
      </c>
      <c r="K134" s="5"/>
    </row>
    <row r="135" spans="1:11" x14ac:dyDescent="0.25">
      <c r="A135" s="7">
        <v>46211</v>
      </c>
      <c r="B135" s="6" t="s">
        <v>14</v>
      </c>
      <c r="C135" s="23">
        <f>'Derived 5Y Spreads'!G135</f>
        <v>600</v>
      </c>
      <c r="D135" s="24">
        <f>C135-'Derived 5Y Spreads'!G128</f>
        <v>2.5</v>
      </c>
      <c r="E135" s="24">
        <f>C135-'Derived 5Y Spreads'!G100</f>
        <v>26.66999999999996</v>
      </c>
      <c r="F135" s="24" t="str">
        <f>IFERROR(NA(),"")</f>
        <v/>
      </c>
      <c r="G135" s="25">
        <f>'Derived 5Y Spreads'!E135</f>
      </c>
      <c r="H135" s="21" t="str">
        <f>'Derived 5Y Spreads'!O135</f>
        <v>stale</v>
      </c>
      <c r="I135" s="26" t="str">
        <f>'Derived 5Y Spreads'!A135</f>
        <v>screenshot-reference-20260824-v1</v>
      </c>
      <c r="J135" s="26" t="str">
        <f>'Derived 5Y Spreads'!D135</f>
        <v>SCREENSHOT.COREWEI.5Y</v>
      </c>
      <c r="K135" s="9"/>
    </row>
    <row r="136" spans="1:11" x14ac:dyDescent="0.25">
      <c r="A136" s="3">
        <v>46211</v>
      </c>
      <c r="B136" s="2" t="s">
        <v>17</v>
      </c>
      <c r="C136" s="18">
        <f>'Derived 5Y Spreads'!G136</f>
        <v>45</v>
      </c>
      <c r="D136" s="19">
        <f>C136-'Derived 5Y Spreads'!G129</f>
        <v>-0.10999999999999943</v>
      </c>
      <c r="E136" s="19">
        <f>C136-'Derived 5Y Spreads'!G101</f>
        <v>-0.7800000000000011</v>
      </c>
      <c r="F136" s="19" t="str">
        <f>IFERROR(NA(),"")</f>
        <v/>
      </c>
      <c r="G136" s="20">
        <f>'Derived 5Y Spreads'!E136</f>
      </c>
      <c r="H136" s="21" t="str">
        <f>'Derived 5Y Spreads'!O136</f>
        <v>stale</v>
      </c>
      <c r="I136" s="22" t="str">
        <f>'Derived 5Y Spreads'!A136</f>
        <v>screenshot-reference-20260824-v1</v>
      </c>
      <c r="J136" s="22" t="str">
        <f>'Derived 5Y Spreads'!D136</f>
        <v>SCREENSHOT.NVIDIA.5Y</v>
      </c>
      <c r="K136" s="5"/>
    </row>
    <row r="137" spans="1:11" x14ac:dyDescent="0.25">
      <c r="A137" s="7">
        <v>46211</v>
      </c>
      <c r="B137" s="6" t="s">
        <v>20</v>
      </c>
      <c r="C137" s="23">
        <f>'Derived 5Y Spreads'!G137</f>
        <v>55</v>
      </c>
      <c r="D137" s="24">
        <f>C137-'Derived 5Y Spreads'!G130</f>
        <v>1</v>
      </c>
      <c r="E137" s="24">
        <f>C137-'Derived 5Y Spreads'!G102</f>
        <v>0.11999999999999744</v>
      </c>
      <c r="F137" s="24" t="str">
        <f>IFERROR(NA(),"")</f>
        <v/>
      </c>
      <c r="G137" s="25">
        <f>'Derived 5Y Spreads'!E137</f>
      </c>
      <c r="H137" s="21" t="str">
        <f>'Derived 5Y Spreads'!O137</f>
        <v>stale</v>
      </c>
      <c r="I137" s="26" t="str">
        <f>'Derived 5Y Spreads'!A137</f>
        <v>screenshot-reference-20260824-v1</v>
      </c>
      <c r="J137" s="26" t="str">
        <f>'Derived 5Y Spreads'!D137</f>
        <v>SCREENSHOT.AMZN.5Y</v>
      </c>
      <c r="K137" s="9"/>
    </row>
    <row r="138" spans="1:11" x14ac:dyDescent="0.25">
      <c r="A138" s="3">
        <v>46211</v>
      </c>
      <c r="B138" s="2" t="s">
        <v>23</v>
      </c>
      <c r="C138" s="18">
        <f>'Derived 5Y Spreads'!G138</f>
        <v>55</v>
      </c>
      <c r="D138" s="19">
        <f>C138-'Derived 5Y Spreads'!G131</f>
        <v>1</v>
      </c>
      <c r="E138" s="19">
        <f>C138-'Derived 5Y Spreads'!G103</f>
        <v>1</v>
      </c>
      <c r="F138" s="19" t="str">
        <f>IFERROR(NA(),"")</f>
        <v/>
      </c>
      <c r="G138" s="20">
        <f>'Derived 5Y Spreads'!E138</f>
      </c>
      <c r="H138" s="21" t="str">
        <f>'Derived 5Y Spreads'!O138</f>
        <v>stale</v>
      </c>
      <c r="I138" s="22" t="str">
        <f>'Derived 5Y Spreads'!A138</f>
        <v>screenshot-reference-20260824-v1</v>
      </c>
      <c r="J138" s="22" t="str">
        <f>'Derived 5Y Spreads'!D138</f>
        <v>SCREENSHOT.ALPHINC.5Y</v>
      </c>
      <c r="K138" s="5"/>
    </row>
    <row r="139" spans="1:11" x14ac:dyDescent="0.25">
      <c r="A139" s="7">
        <v>46211</v>
      </c>
      <c r="B139" s="6" t="s">
        <v>26</v>
      </c>
      <c r="C139" s="23">
        <f>'Derived 5Y Spreads'!G139</f>
        <v>43</v>
      </c>
      <c r="D139" s="24">
        <f>C139-'Derived 5Y Spreads'!G132</f>
        <v>1</v>
      </c>
      <c r="E139" s="24">
        <f>C139-'Derived 5Y Spreads'!G104</f>
        <v>1.2899999999999991</v>
      </c>
      <c r="F139" s="24" t="str">
        <f>IFERROR(NA(),"")</f>
        <v/>
      </c>
      <c r="G139" s="25">
        <f>'Derived 5Y Spreads'!E139</f>
      </c>
      <c r="H139" s="21" t="str">
        <f>'Derived 5Y Spreads'!O139</f>
        <v>stale</v>
      </c>
      <c r="I139" s="26" t="str">
        <f>'Derived 5Y Spreads'!A139</f>
        <v>screenshot-reference-20260824-v1</v>
      </c>
      <c r="J139" s="26" t="str">
        <f>'Derived 5Y Spreads'!D139</f>
        <v>SCREENSHOT.MSFT.5Y</v>
      </c>
      <c r="K139" s="9"/>
    </row>
    <row r="140" spans="1:11" x14ac:dyDescent="0.25">
      <c r="A140" s="3">
        <v>46211</v>
      </c>
      <c r="B140" s="2" t="s">
        <v>29</v>
      </c>
      <c r="C140" s="18">
        <f>'Derived 5Y Spreads'!G140</f>
        <v>71.86</v>
      </c>
      <c r="D140" s="19">
        <f>C140-'Derived 5Y Spreads'!G133</f>
        <v>1.4299999999999926</v>
      </c>
      <c r="E140" s="19">
        <f>C140-'Derived 5Y Spreads'!G105</f>
        <v>3.480000000000004</v>
      </c>
      <c r="F140" s="19" t="str">
        <f>IFERROR(NA(),"")</f>
        <v/>
      </c>
      <c r="G140" s="20">
        <f>'Derived 5Y Spreads'!E140</f>
      </c>
      <c r="H140" s="21" t="str">
        <f>'Derived 5Y Spreads'!O140</f>
        <v>stale</v>
      </c>
      <c r="I140" s="22" t="str">
        <f>'Derived 5Y Spreads'!A140</f>
        <v>screenshot-reference-20260824-v1</v>
      </c>
      <c r="J140" s="22" t="str">
        <f>'Derived 5Y Spreads'!D140</f>
        <v>SCREENSHOT.METAPL.5Y</v>
      </c>
      <c r="K140" s="5"/>
    </row>
    <row r="141" spans="1:11" x14ac:dyDescent="0.25">
      <c r="A141" s="7">
        <v>46212</v>
      </c>
      <c r="B141" s="6" t="s">
        <v>9</v>
      </c>
      <c r="C141" s="23">
        <f>'Derived 5Y Spreads'!G141</f>
        <v>176.71</v>
      </c>
      <c r="D141" s="24">
        <f>C141-'Derived 5Y Spreads'!G134</f>
        <v>2.5700000000000216</v>
      </c>
      <c r="E141" s="24">
        <f>C141-'Derived 5Y Spreads'!G106</f>
        <v>6.570000000000022</v>
      </c>
      <c r="F141" s="24" t="str">
        <f>IFERROR(NA(),"")</f>
        <v/>
      </c>
      <c r="G141" s="25">
        <f>'Derived 5Y Spreads'!E141</f>
      </c>
      <c r="H141" s="21" t="str">
        <f>'Derived 5Y Spreads'!O141</f>
        <v>stale</v>
      </c>
      <c r="I141" s="26" t="str">
        <f>'Derived 5Y Spreads'!A141</f>
        <v>screenshot-reference-20260824-v1</v>
      </c>
      <c r="J141" s="26" t="str">
        <f>'Derived 5Y Spreads'!D141</f>
        <v>SCREENSHOT.ORCLE.5Y</v>
      </c>
      <c r="K141" s="9"/>
    </row>
    <row r="142" spans="1:11" x14ac:dyDescent="0.25">
      <c r="A142" s="3">
        <v>46212</v>
      </c>
      <c r="B142" s="2" t="s">
        <v>14</v>
      </c>
      <c r="C142" s="18">
        <f>'Derived 5Y Spreads'!G142</f>
        <v>587.5</v>
      </c>
      <c r="D142" s="19">
        <f>C142-'Derived 5Y Spreads'!G135</f>
        <v>-12.5</v>
      </c>
      <c r="E142" s="19">
        <f>C142-'Derived 5Y Spreads'!G107</f>
        <v>2.5</v>
      </c>
      <c r="F142" s="19" t="str">
        <f>IFERROR(NA(),"")</f>
        <v/>
      </c>
      <c r="G142" s="20">
        <f>'Derived 5Y Spreads'!E142</f>
      </c>
      <c r="H142" s="21" t="str">
        <f>'Derived 5Y Spreads'!O142</f>
        <v>stale</v>
      </c>
      <c r="I142" s="22" t="str">
        <f>'Derived 5Y Spreads'!A142</f>
        <v>screenshot-reference-20260824-v1</v>
      </c>
      <c r="J142" s="22" t="str">
        <f>'Derived 5Y Spreads'!D142</f>
        <v>SCREENSHOT.COREWEI.5Y</v>
      </c>
      <c r="K142" s="5"/>
    </row>
    <row r="143" spans="1:11" x14ac:dyDescent="0.25">
      <c r="A143" s="7">
        <v>46212</v>
      </c>
      <c r="B143" s="6" t="s">
        <v>17</v>
      </c>
      <c r="C143" s="23">
        <f>'Derived 5Y Spreads'!G143</f>
        <v>47</v>
      </c>
      <c r="D143" s="24">
        <f>C143-'Derived 5Y Spreads'!G136</f>
        <v>2</v>
      </c>
      <c r="E143" s="24">
        <f>C143-'Derived 5Y Spreads'!G108</f>
        <v>1.3299999999999983</v>
      </c>
      <c r="F143" s="24" t="str">
        <f>IFERROR(NA(),"")</f>
        <v/>
      </c>
      <c r="G143" s="25">
        <f>'Derived 5Y Spreads'!E143</f>
      </c>
      <c r="H143" s="21" t="str">
        <f>'Derived 5Y Spreads'!O143</f>
        <v>stale</v>
      </c>
      <c r="I143" s="26" t="str">
        <f>'Derived 5Y Spreads'!A143</f>
        <v>screenshot-reference-20260824-v1</v>
      </c>
      <c r="J143" s="26" t="str">
        <f>'Derived 5Y Spreads'!D143</f>
        <v>SCREENSHOT.NVIDIA.5Y</v>
      </c>
      <c r="K143" s="9"/>
    </row>
    <row r="144" spans="1:11" x14ac:dyDescent="0.25">
      <c r="A144" s="3">
        <v>46212</v>
      </c>
      <c r="B144" s="2" t="s">
        <v>20</v>
      </c>
      <c r="C144" s="18">
        <f>'Derived 5Y Spreads'!G144</f>
        <v>56</v>
      </c>
      <c r="D144" s="19">
        <f>C144-'Derived 5Y Spreads'!G137</f>
        <v>1</v>
      </c>
      <c r="E144" s="19">
        <f>C144-'Derived 5Y Spreads'!G109</f>
        <v>1</v>
      </c>
      <c r="F144" s="19" t="str">
        <f>IFERROR(NA(),"")</f>
        <v/>
      </c>
      <c r="G144" s="20">
        <f>'Derived 5Y Spreads'!E144</f>
      </c>
      <c r="H144" s="21" t="str">
        <f>'Derived 5Y Spreads'!O144</f>
        <v>stale</v>
      </c>
      <c r="I144" s="22" t="str">
        <f>'Derived 5Y Spreads'!A144</f>
        <v>screenshot-reference-20260824-v1</v>
      </c>
      <c r="J144" s="22" t="str">
        <f>'Derived 5Y Spreads'!D144</f>
        <v>SCREENSHOT.AMZN.5Y</v>
      </c>
      <c r="K144" s="5"/>
    </row>
    <row r="145" spans="1:11" x14ac:dyDescent="0.25">
      <c r="A145" s="7">
        <v>46212</v>
      </c>
      <c r="B145" s="6" t="s">
        <v>23</v>
      </c>
      <c r="C145" s="23">
        <f>'Derived 5Y Spreads'!G145</f>
        <v>56</v>
      </c>
      <c r="D145" s="24">
        <f>C145-'Derived 5Y Spreads'!G138</f>
        <v>1</v>
      </c>
      <c r="E145" s="24">
        <f>C145-'Derived 5Y Spreads'!G110</f>
        <v>2.200000000000003</v>
      </c>
      <c r="F145" s="24" t="str">
        <f>IFERROR(NA(),"")</f>
        <v/>
      </c>
      <c r="G145" s="25">
        <f>'Derived 5Y Spreads'!E145</f>
      </c>
      <c r="H145" s="21" t="str">
        <f>'Derived 5Y Spreads'!O145</f>
        <v>stale</v>
      </c>
      <c r="I145" s="26" t="str">
        <f>'Derived 5Y Spreads'!A145</f>
        <v>screenshot-reference-20260824-v1</v>
      </c>
      <c r="J145" s="26" t="str">
        <f>'Derived 5Y Spreads'!D145</f>
        <v>SCREENSHOT.ALPHINC.5Y</v>
      </c>
      <c r="K145" s="9"/>
    </row>
    <row r="146" spans="1:11" x14ac:dyDescent="0.25">
      <c r="A146" s="3">
        <v>46212</v>
      </c>
      <c r="B146" s="2" t="s">
        <v>26</v>
      </c>
      <c r="C146" s="18">
        <f>'Derived 5Y Spreads'!G146</f>
        <v>44</v>
      </c>
      <c r="D146" s="19">
        <f>C146-'Derived 5Y Spreads'!G139</f>
        <v>1</v>
      </c>
      <c r="E146" s="19">
        <f>C146-'Derived 5Y Spreads'!G111</f>
        <v>2.4299999999999997</v>
      </c>
      <c r="F146" s="19" t="str">
        <f>IFERROR(NA(),"")</f>
        <v/>
      </c>
      <c r="G146" s="20">
        <f>'Derived 5Y Spreads'!E146</f>
      </c>
      <c r="H146" s="21" t="str">
        <f>'Derived 5Y Spreads'!O146</f>
        <v>stale</v>
      </c>
      <c r="I146" s="22" t="str">
        <f>'Derived 5Y Spreads'!A146</f>
        <v>screenshot-reference-20260824-v1</v>
      </c>
      <c r="J146" s="22" t="str">
        <f>'Derived 5Y Spreads'!D146</f>
        <v>SCREENSHOT.MSFT.5Y</v>
      </c>
      <c r="K146" s="5"/>
    </row>
    <row r="147" spans="1:11" x14ac:dyDescent="0.25">
      <c r="A147" s="7">
        <v>46212</v>
      </c>
      <c r="B147" s="6" t="s">
        <v>29</v>
      </c>
      <c r="C147" s="23">
        <f>'Derived 5Y Spreads'!G147</f>
        <v>73.29</v>
      </c>
      <c r="D147" s="24">
        <f>C147-'Derived 5Y Spreads'!G140</f>
        <v>1.4300000000000068</v>
      </c>
      <c r="E147" s="24">
        <f>C147-'Derived 5Y Spreads'!G112</f>
        <v>5.290000000000006</v>
      </c>
      <c r="F147" s="24" t="str">
        <f>IFERROR(NA(),"")</f>
        <v/>
      </c>
      <c r="G147" s="25">
        <f>'Derived 5Y Spreads'!E147</f>
      </c>
      <c r="H147" s="21" t="str">
        <f>'Derived 5Y Spreads'!O147</f>
        <v>stale</v>
      </c>
      <c r="I147" s="26" t="str">
        <f>'Derived 5Y Spreads'!A147</f>
        <v>screenshot-reference-20260824-v1</v>
      </c>
      <c r="J147" s="26" t="str">
        <f>'Derived 5Y Spreads'!D147</f>
        <v>SCREENSHOT.METAPL.5Y</v>
      </c>
      <c r="K147" s="9"/>
    </row>
    <row r="148" spans="1:11" x14ac:dyDescent="0.25">
      <c r="A148" s="3">
        <v>46213</v>
      </c>
      <c r="B148" s="2" t="s">
        <v>9</v>
      </c>
      <c r="C148" s="18">
        <f>'Derived 5Y Spreads'!G148</f>
        <v>179.29</v>
      </c>
      <c r="D148" s="19">
        <f>C148-'Derived 5Y Spreads'!G141</f>
        <v>2.579999999999984</v>
      </c>
      <c r="E148" s="19">
        <f>C148-'Derived 5Y Spreads'!G113</f>
        <v>9.429999999999978</v>
      </c>
      <c r="F148" s="19">
        <f>C148-'Derived 5Y Spreads'!G2</f>
        <v>19.289999999999992</v>
      </c>
      <c r="G148" s="20">
        <f>'Derived 5Y Spreads'!E148</f>
      </c>
      <c r="H148" s="21" t="str">
        <f>'Derived 5Y Spreads'!O148</f>
        <v>stale</v>
      </c>
      <c r="I148" s="22" t="str">
        <f>'Derived 5Y Spreads'!A148</f>
        <v>screenshot-reference-20260824-v1</v>
      </c>
      <c r="J148" s="22" t="str">
        <f>'Derived 5Y Spreads'!D148</f>
        <v>SCREENSHOT.ORCLE.5Y</v>
      </c>
      <c r="K148" s="5"/>
    </row>
    <row r="149" spans="1:11" x14ac:dyDescent="0.25">
      <c r="A149" s="7">
        <v>46213</v>
      </c>
      <c r="B149" s="6" t="s">
        <v>14</v>
      </c>
      <c r="C149" s="23">
        <f>'Derived 5Y Spreads'!G149</f>
        <v>575</v>
      </c>
      <c r="D149" s="24">
        <f>C149-'Derived 5Y Spreads'!G142</f>
        <v>-12.5</v>
      </c>
      <c r="E149" s="24">
        <f>C149-'Derived 5Y Spreads'!G114</f>
        <v>-12.5</v>
      </c>
      <c r="F149" s="24">
        <f>C149-'Derived 5Y Spreads'!G3</f>
        <v>65</v>
      </c>
      <c r="G149" s="25">
        <f>'Derived 5Y Spreads'!E149</f>
      </c>
      <c r="H149" s="21" t="str">
        <f>'Derived 5Y Spreads'!O149</f>
        <v>stale</v>
      </c>
      <c r="I149" s="26" t="str">
        <f>'Derived 5Y Spreads'!A149</f>
        <v>screenshot-reference-20260824-v1</v>
      </c>
      <c r="J149" s="26" t="str">
        <f>'Derived 5Y Spreads'!D149</f>
        <v>SCREENSHOT.COREWEI.5Y</v>
      </c>
      <c r="K149" s="9"/>
    </row>
    <row r="150" spans="1:11" x14ac:dyDescent="0.25">
      <c r="A150" s="3">
        <v>46213</v>
      </c>
      <c r="B150" s="2" t="s">
        <v>17</v>
      </c>
      <c r="C150" s="18">
        <f>'Derived 5Y Spreads'!G150</f>
        <v>49</v>
      </c>
      <c r="D150" s="19">
        <f>C150-'Derived 5Y Spreads'!G143</f>
        <v>2</v>
      </c>
      <c r="E150" s="19">
        <f>C150-'Derived 5Y Spreads'!G115</f>
        <v>3.4399999999999977</v>
      </c>
      <c r="F150" s="19" t="str">
        <f>IFERROR(NA(),"")</f>
        <v/>
      </c>
      <c r="G150" s="20">
        <f>'Derived 5Y Spreads'!E150</f>
      </c>
      <c r="H150" s="21" t="str">
        <f>'Derived 5Y Spreads'!O150</f>
        <v>stale</v>
      </c>
      <c r="I150" s="22" t="str">
        <f>'Derived 5Y Spreads'!A150</f>
        <v>screenshot-reference-20260824-v1</v>
      </c>
      <c r="J150" s="22" t="str">
        <f>'Derived 5Y Spreads'!D150</f>
        <v>SCREENSHOT.NVIDIA.5Y</v>
      </c>
      <c r="K150" s="5"/>
    </row>
    <row r="151" spans="1:11" x14ac:dyDescent="0.25">
      <c r="A151" s="7">
        <v>46213</v>
      </c>
      <c r="B151" s="6" t="s">
        <v>20</v>
      </c>
      <c r="C151" s="23">
        <f>'Derived 5Y Spreads'!G151</f>
        <v>57</v>
      </c>
      <c r="D151" s="24">
        <f>C151-'Derived 5Y Spreads'!G144</f>
        <v>1</v>
      </c>
      <c r="E151" s="24">
        <f>C151-'Derived 5Y Spreads'!G116</f>
        <v>2.5</v>
      </c>
      <c r="F151" s="24">
        <f>C151-'Derived 5Y Spreads'!G4</f>
        <v>6</v>
      </c>
      <c r="G151" s="25">
        <f>'Derived 5Y Spreads'!E151</f>
      </c>
      <c r="H151" s="21" t="str">
        <f>'Derived 5Y Spreads'!O151</f>
        <v>stale</v>
      </c>
      <c r="I151" s="26" t="str">
        <f>'Derived 5Y Spreads'!A151</f>
        <v>screenshot-reference-20260824-v1</v>
      </c>
      <c r="J151" s="26" t="str">
        <f>'Derived 5Y Spreads'!D151</f>
        <v>SCREENSHOT.AMZN.5Y</v>
      </c>
      <c r="K151" s="9"/>
    </row>
    <row r="152" spans="1:11" x14ac:dyDescent="0.25">
      <c r="A152" s="3">
        <v>46213</v>
      </c>
      <c r="B152" s="2" t="s">
        <v>23</v>
      </c>
      <c r="C152" s="18">
        <f>'Derived 5Y Spreads'!G152</f>
        <v>57</v>
      </c>
      <c r="D152" s="19">
        <f>C152-'Derived 5Y Spreads'!G145</f>
        <v>1</v>
      </c>
      <c r="E152" s="19">
        <f>C152-'Derived 5Y Spreads'!G117</f>
        <v>3.3999999999999986</v>
      </c>
      <c r="F152" s="19">
        <f>C152-'Derived 5Y Spreads'!G5</f>
        <v>7</v>
      </c>
      <c r="G152" s="20">
        <f>'Derived 5Y Spreads'!E152</f>
      </c>
      <c r="H152" s="21" t="str">
        <f>'Derived 5Y Spreads'!O152</f>
        <v>stale</v>
      </c>
      <c r="I152" s="22" t="str">
        <f>'Derived 5Y Spreads'!A152</f>
        <v>screenshot-reference-20260824-v1</v>
      </c>
      <c r="J152" s="22" t="str">
        <f>'Derived 5Y Spreads'!D152</f>
        <v>SCREENSHOT.ALPHINC.5Y</v>
      </c>
      <c r="K152" s="5"/>
    </row>
    <row r="153" spans="1:11" x14ac:dyDescent="0.25">
      <c r="A153" s="7">
        <v>46213</v>
      </c>
      <c r="B153" s="6" t="s">
        <v>26</v>
      </c>
      <c r="C153" s="23">
        <f>'Derived 5Y Spreads'!G153</f>
        <v>45</v>
      </c>
      <c r="D153" s="24">
        <f>C153-'Derived 5Y Spreads'!G146</f>
        <v>1</v>
      </c>
      <c r="E153" s="24">
        <f>C153-'Derived 5Y Spreads'!G118</f>
        <v>3.5700000000000003</v>
      </c>
      <c r="F153" s="24">
        <f>C153-'Derived 5Y Spreads'!G6</f>
        <v>6</v>
      </c>
      <c r="G153" s="25">
        <f>'Derived 5Y Spreads'!E153</f>
      </c>
      <c r="H153" s="21" t="str">
        <f>'Derived 5Y Spreads'!O153</f>
        <v>stale</v>
      </c>
      <c r="I153" s="26" t="str">
        <f>'Derived 5Y Spreads'!A153</f>
        <v>screenshot-reference-20260824-v1</v>
      </c>
      <c r="J153" s="26" t="str">
        <f>'Derived 5Y Spreads'!D153</f>
        <v>SCREENSHOT.MSFT.5Y</v>
      </c>
      <c r="K153" s="9"/>
    </row>
    <row r="154" spans="1:11" x14ac:dyDescent="0.25">
      <c r="A154" s="3">
        <v>46213</v>
      </c>
      <c r="B154" s="2" t="s">
        <v>29</v>
      </c>
      <c r="C154" s="18">
        <f>'Derived 5Y Spreads'!G154</f>
        <v>74.71</v>
      </c>
      <c r="D154" s="19">
        <f>C154-'Derived 5Y Spreads'!G147</f>
        <v>1.4199999999999875</v>
      </c>
      <c r="E154" s="19">
        <f>C154-'Derived 5Y Spreads'!G119</f>
        <v>6.459999999999994</v>
      </c>
      <c r="F154" s="19">
        <f>C154-'Derived 5Y Spreads'!G7</f>
        <v>3.7099999999999937</v>
      </c>
      <c r="G154" s="20">
        <f>'Derived 5Y Spreads'!E154</f>
      </c>
      <c r="H154" s="21" t="str">
        <f>'Derived 5Y Spreads'!O154</f>
        <v>stale</v>
      </c>
      <c r="I154" s="22" t="str">
        <f>'Derived 5Y Spreads'!A154</f>
        <v>screenshot-reference-20260824-v1</v>
      </c>
      <c r="J154" s="22" t="str">
        <f>'Derived 5Y Spreads'!D154</f>
        <v>SCREENSHOT.METAPL.5Y</v>
      </c>
      <c r="K154" s="5"/>
    </row>
    <row r="155" spans="1:11" x14ac:dyDescent="0.25">
      <c r="A155" s="7">
        <v>46216</v>
      </c>
      <c r="B155" s="6" t="s">
        <v>9</v>
      </c>
      <c r="C155" s="23">
        <f>'Derived 5Y Spreads'!G155</f>
        <v>187</v>
      </c>
      <c r="D155" s="24">
        <f>C155-'Derived 5Y Spreads'!G148</f>
        <v>7.710000000000008</v>
      </c>
      <c r="E155" s="24">
        <f>C155-'Derived 5Y Spreads'!G120</f>
        <v>18</v>
      </c>
      <c r="F155" s="24">
        <f>C155-'Derived 5Y Spreads'!G14</f>
        <v>29.400000000000006</v>
      </c>
      <c r="G155" s="25">
        <f>'Derived 5Y Spreads'!E155</f>
      </c>
      <c r="H155" s="21" t="str">
        <f>'Derived 5Y Spreads'!O155</f>
        <v>stale</v>
      </c>
      <c r="I155" s="26" t="str">
        <f>'Derived 5Y Spreads'!A155</f>
        <v>screenshot-reference-20260824-v1</v>
      </c>
      <c r="J155" s="26" t="str">
        <f>'Derived 5Y Spreads'!D155</f>
        <v>SCREENSHOT.ORCLE.5Y</v>
      </c>
      <c r="K155" s="9"/>
    </row>
    <row r="156" spans="1:11" x14ac:dyDescent="0.25">
      <c r="A156" s="3">
        <v>46216</v>
      </c>
      <c r="B156" s="2" t="s">
        <v>14</v>
      </c>
      <c r="C156" s="18">
        <f>'Derived 5Y Spreads'!G156</f>
        <v>620</v>
      </c>
      <c r="D156" s="19">
        <f>C156-'Derived 5Y Spreads'!G149</f>
        <v>45</v>
      </c>
      <c r="E156" s="19">
        <f>C156-'Derived 5Y Spreads'!G121</f>
        <v>25</v>
      </c>
      <c r="F156" s="19">
        <f>C156-'Derived 5Y Spreads'!G15</f>
        <v>118.57</v>
      </c>
      <c r="G156" s="20">
        <f>'Derived 5Y Spreads'!E156</f>
      </c>
      <c r="H156" s="21" t="str">
        <f>'Derived 5Y Spreads'!O156</f>
        <v>stale</v>
      </c>
      <c r="I156" s="22" t="str">
        <f>'Derived 5Y Spreads'!A156</f>
        <v>screenshot-reference-20260824-v1</v>
      </c>
      <c r="J156" s="22" t="str">
        <f>'Derived 5Y Spreads'!D156</f>
        <v>SCREENSHOT.COREWEI.5Y</v>
      </c>
      <c r="K156" s="5"/>
    </row>
    <row r="157" spans="1:11" x14ac:dyDescent="0.25">
      <c r="A157" s="7">
        <v>46216</v>
      </c>
      <c r="B157" s="6" t="s">
        <v>17</v>
      </c>
      <c r="C157" s="23">
        <f>'Derived 5Y Spreads'!G157</f>
        <v>55</v>
      </c>
      <c r="D157" s="24">
        <f>C157-'Derived 5Y Spreads'!G150</f>
        <v>6</v>
      </c>
      <c r="E157" s="24">
        <f>C157-'Derived 5Y Spreads'!G122</f>
        <v>9.780000000000001</v>
      </c>
      <c r="F157" s="24" t="str">
        <f>IFERROR(NA(),"")</f>
        <v/>
      </c>
      <c r="G157" s="25">
        <f>'Derived 5Y Spreads'!E157</f>
      </c>
      <c r="H157" s="21" t="str">
        <f>'Derived 5Y Spreads'!O157</f>
        <v>stale</v>
      </c>
      <c r="I157" s="26" t="str">
        <f>'Derived 5Y Spreads'!A157</f>
        <v>screenshot-reference-20260824-v1</v>
      </c>
      <c r="J157" s="26" t="str">
        <f>'Derived 5Y Spreads'!D157</f>
        <v>SCREENSHOT.NVIDIA.5Y</v>
      </c>
      <c r="K157" s="9"/>
    </row>
    <row r="158" spans="1:11" x14ac:dyDescent="0.25">
      <c r="A158" s="3">
        <v>46216</v>
      </c>
      <c r="B158" s="2" t="s">
        <v>20</v>
      </c>
      <c r="C158" s="18">
        <f>'Derived 5Y Spreads'!G158</f>
        <v>60</v>
      </c>
      <c r="D158" s="19">
        <f>C158-'Derived 5Y Spreads'!G151</f>
        <v>3</v>
      </c>
      <c r="E158" s="19">
        <f>C158-'Derived 5Y Spreads'!G123</f>
        <v>7</v>
      </c>
      <c r="F158" s="19">
        <f>C158-'Derived 5Y Spreads'!G16</f>
        <v>9.29</v>
      </c>
      <c r="G158" s="20">
        <f>'Derived 5Y Spreads'!E158</f>
      </c>
      <c r="H158" s="21" t="str">
        <f>'Derived 5Y Spreads'!O158</f>
        <v>stale</v>
      </c>
      <c r="I158" s="22" t="str">
        <f>'Derived 5Y Spreads'!A158</f>
        <v>screenshot-reference-20260824-v1</v>
      </c>
      <c r="J158" s="22" t="str">
        <f>'Derived 5Y Spreads'!D158</f>
        <v>SCREENSHOT.AMZN.5Y</v>
      </c>
      <c r="K158" s="5"/>
    </row>
    <row r="159" spans="1:11" x14ac:dyDescent="0.25">
      <c r="A159" s="7">
        <v>46216</v>
      </c>
      <c r="B159" s="6" t="s">
        <v>23</v>
      </c>
      <c r="C159" s="23">
        <f>'Derived 5Y Spreads'!G159</f>
        <v>60</v>
      </c>
      <c r="D159" s="24">
        <f>C159-'Derived 5Y Spreads'!G152</f>
        <v>3</v>
      </c>
      <c r="E159" s="24">
        <f>C159-'Derived 5Y Spreads'!G124</f>
        <v>7</v>
      </c>
      <c r="F159" s="24">
        <f>C159-'Derived 5Y Spreads'!G17</f>
        <v>10.29</v>
      </c>
      <c r="G159" s="25">
        <f>'Derived 5Y Spreads'!E159</f>
      </c>
      <c r="H159" s="21" t="str">
        <f>'Derived 5Y Spreads'!O159</f>
        <v>stale</v>
      </c>
      <c r="I159" s="26" t="str">
        <f>'Derived 5Y Spreads'!A159</f>
        <v>screenshot-reference-20260824-v1</v>
      </c>
      <c r="J159" s="26" t="str">
        <f>'Derived 5Y Spreads'!D159</f>
        <v>SCREENSHOT.ALPHINC.5Y</v>
      </c>
      <c r="K159" s="9"/>
    </row>
    <row r="160" spans="1:11" x14ac:dyDescent="0.25">
      <c r="A160" s="3">
        <v>46216</v>
      </c>
      <c r="B160" s="2" t="s">
        <v>26</v>
      </c>
      <c r="C160" s="18">
        <f>'Derived 5Y Spreads'!G160</f>
        <v>48</v>
      </c>
      <c r="D160" s="19">
        <f>C160-'Derived 5Y Spreads'!G153</f>
        <v>3</v>
      </c>
      <c r="E160" s="19">
        <f>C160-'Derived 5Y Spreads'!G125</f>
        <v>7</v>
      </c>
      <c r="F160" s="19">
        <f>C160-'Derived 5Y Spreads'!G18</f>
        <v>9.29</v>
      </c>
      <c r="G160" s="20">
        <f>'Derived 5Y Spreads'!E160</f>
      </c>
      <c r="H160" s="21" t="str">
        <f>'Derived 5Y Spreads'!O160</f>
        <v>stale</v>
      </c>
      <c r="I160" s="22" t="str">
        <f>'Derived 5Y Spreads'!A160</f>
        <v>screenshot-reference-20260824-v1</v>
      </c>
      <c r="J160" s="22" t="str">
        <f>'Derived 5Y Spreads'!D160</f>
        <v>SCREENSHOT.MSFT.5Y</v>
      </c>
      <c r="K160" s="5"/>
    </row>
    <row r="161" spans="1:11" x14ac:dyDescent="0.25">
      <c r="A161" s="7">
        <v>46216</v>
      </c>
      <c r="B161" s="6" t="s">
        <v>29</v>
      </c>
      <c r="C161" s="23">
        <f>'Derived 5Y Spreads'!G161</f>
        <v>79</v>
      </c>
      <c r="D161" s="24">
        <f>C161-'Derived 5Y Spreads'!G154</f>
        <v>4.290000000000006</v>
      </c>
      <c r="E161" s="24">
        <f>C161-'Derived 5Y Spreads'!G126</f>
        <v>10</v>
      </c>
      <c r="F161" s="24">
        <f>C161-'Derived 5Y Spreads'!G19</f>
        <v>8.569999999999993</v>
      </c>
      <c r="G161" s="25">
        <f>'Derived 5Y Spreads'!E161</f>
      </c>
      <c r="H161" s="21" t="str">
        <f>'Derived 5Y Spreads'!O161</f>
        <v>stale</v>
      </c>
      <c r="I161" s="26" t="str">
        <f>'Derived 5Y Spreads'!A161</f>
        <v>screenshot-reference-20260824-v1</v>
      </c>
      <c r="J161" s="26" t="str">
        <f>'Derived 5Y Spreads'!D161</f>
        <v>SCREENSHOT.METAPL.5Y</v>
      </c>
      <c r="K161" s="9"/>
    </row>
    <row r="162" spans="1:11" x14ac:dyDescent="0.25">
      <c r="A162" s="3">
        <v>46217</v>
      </c>
      <c r="B162" s="2" t="s">
        <v>9</v>
      </c>
      <c r="C162" s="18">
        <f>'Derived 5Y Spreads'!G162</f>
        <v>187.14</v>
      </c>
      <c r="D162" s="19">
        <f>C162-'Derived 5Y Spreads'!G155</f>
        <v>0.13999999999998636</v>
      </c>
      <c r="E162" s="19">
        <f>C162-'Derived 5Y Spreads'!G127</f>
        <v>15.569999999999993</v>
      </c>
      <c r="F162" s="19">
        <f>C162-'Derived 5Y Spreads'!G14</f>
        <v>29.539999999999992</v>
      </c>
      <c r="G162" s="20">
        <f>'Derived 5Y Spreads'!E162</f>
      </c>
      <c r="H162" s="21" t="str">
        <f>'Derived 5Y Spreads'!O162</f>
        <v>stale</v>
      </c>
      <c r="I162" s="22" t="str">
        <f>'Derived 5Y Spreads'!A162</f>
        <v>screenshot-reference-20260824-v1</v>
      </c>
      <c r="J162" s="22" t="str">
        <f>'Derived 5Y Spreads'!D162</f>
        <v>SCREENSHOT.ORCLE.5Y</v>
      </c>
      <c r="K162" s="5"/>
    </row>
    <row r="163" spans="1:11" x14ac:dyDescent="0.25">
      <c r="A163" s="7">
        <v>46217</v>
      </c>
      <c r="B163" s="6" t="s">
        <v>14</v>
      </c>
      <c r="C163" s="23">
        <f>'Derived 5Y Spreads'!G163</f>
        <v>635</v>
      </c>
      <c r="D163" s="24">
        <f>C163-'Derived 5Y Spreads'!G156</f>
        <v>15</v>
      </c>
      <c r="E163" s="24">
        <f>C163-'Derived 5Y Spreads'!G128</f>
        <v>37.5</v>
      </c>
      <c r="F163" s="24">
        <f>C163-'Derived 5Y Spreads'!G15</f>
        <v>133.57</v>
      </c>
      <c r="G163" s="25">
        <f>'Derived 5Y Spreads'!E163</f>
      </c>
      <c r="H163" s="21" t="str">
        <f>'Derived 5Y Spreads'!O163</f>
        <v>stale</v>
      </c>
      <c r="I163" s="26" t="str">
        <f>'Derived 5Y Spreads'!A163</f>
        <v>screenshot-reference-20260824-v1</v>
      </c>
      <c r="J163" s="26" t="str">
        <f>'Derived 5Y Spreads'!D163</f>
        <v>SCREENSHOT.COREWEI.5Y</v>
      </c>
      <c r="K163" s="9"/>
    </row>
    <row r="164" spans="1:11" x14ac:dyDescent="0.25">
      <c r="A164" s="3">
        <v>46217</v>
      </c>
      <c r="B164" s="2" t="s">
        <v>17</v>
      </c>
      <c r="C164" s="18">
        <f>'Derived 5Y Spreads'!G164</f>
        <v>57</v>
      </c>
      <c r="D164" s="19">
        <f>C164-'Derived 5Y Spreads'!G157</f>
        <v>2</v>
      </c>
      <c r="E164" s="19">
        <f>C164-'Derived 5Y Spreads'!G129</f>
        <v>11.89</v>
      </c>
      <c r="F164" s="19" t="str">
        <f>IFERROR(NA(),"")</f>
        <v/>
      </c>
      <c r="G164" s="20">
        <f>'Derived 5Y Spreads'!E164</f>
      </c>
      <c r="H164" s="21" t="str">
        <f>'Derived 5Y Spreads'!O164</f>
        <v>stale</v>
      </c>
      <c r="I164" s="22" t="str">
        <f>'Derived 5Y Spreads'!A164</f>
        <v>screenshot-reference-20260824-v1</v>
      </c>
      <c r="J164" s="22" t="str">
        <f>'Derived 5Y Spreads'!D164</f>
        <v>SCREENSHOT.NVIDIA.5Y</v>
      </c>
      <c r="K164" s="5"/>
    </row>
    <row r="165" spans="1:11" x14ac:dyDescent="0.25">
      <c r="A165" s="7">
        <v>46217</v>
      </c>
      <c r="B165" s="6" t="s">
        <v>20</v>
      </c>
      <c r="C165" s="23">
        <f>'Derived 5Y Spreads'!G165</f>
        <v>59.25</v>
      </c>
      <c r="D165" s="24">
        <f>C165-'Derived 5Y Spreads'!G158</f>
        <v>-0.75</v>
      </c>
      <c r="E165" s="24">
        <f>C165-'Derived 5Y Spreads'!G130</f>
        <v>5.25</v>
      </c>
      <c r="F165" s="24">
        <f>C165-'Derived 5Y Spreads'!G16</f>
        <v>8.54</v>
      </c>
      <c r="G165" s="25">
        <f>'Derived 5Y Spreads'!E165</f>
      </c>
      <c r="H165" s="21" t="str">
        <f>'Derived 5Y Spreads'!O165</f>
        <v>stale</v>
      </c>
      <c r="I165" s="26" t="str">
        <f>'Derived 5Y Spreads'!A165</f>
        <v>screenshot-reference-20260824-v1</v>
      </c>
      <c r="J165" s="26" t="str">
        <f>'Derived 5Y Spreads'!D165</f>
        <v>SCREENSHOT.AMZN.5Y</v>
      </c>
      <c r="K165" s="9"/>
    </row>
    <row r="166" spans="1:11" x14ac:dyDescent="0.25">
      <c r="A166" s="3">
        <v>46217</v>
      </c>
      <c r="B166" s="2" t="s">
        <v>23</v>
      </c>
      <c r="C166" s="18">
        <f>'Derived 5Y Spreads'!G166</f>
        <v>59.25</v>
      </c>
      <c r="D166" s="19">
        <f>C166-'Derived 5Y Spreads'!G159</f>
        <v>-0.75</v>
      </c>
      <c r="E166" s="19">
        <f>C166-'Derived 5Y Spreads'!G131</f>
        <v>5.25</v>
      </c>
      <c r="F166" s="19">
        <f>C166-'Derived 5Y Spreads'!G17</f>
        <v>9.54</v>
      </c>
      <c r="G166" s="20">
        <f>'Derived 5Y Spreads'!E166</f>
      </c>
      <c r="H166" s="21" t="str">
        <f>'Derived 5Y Spreads'!O166</f>
        <v>stale</v>
      </c>
      <c r="I166" s="22" t="str">
        <f>'Derived 5Y Spreads'!A166</f>
        <v>screenshot-reference-20260824-v1</v>
      </c>
      <c r="J166" s="22" t="str">
        <f>'Derived 5Y Spreads'!D166</f>
        <v>SCREENSHOT.ALPHINC.5Y</v>
      </c>
      <c r="K166" s="5"/>
    </row>
    <row r="167" spans="1:11" x14ac:dyDescent="0.25">
      <c r="A167" s="7">
        <v>46217</v>
      </c>
      <c r="B167" s="6" t="s">
        <v>26</v>
      </c>
      <c r="C167" s="23">
        <f>'Derived 5Y Spreads'!G167</f>
        <v>47.75</v>
      </c>
      <c r="D167" s="24">
        <f>C167-'Derived 5Y Spreads'!G160</f>
        <v>-0.25</v>
      </c>
      <c r="E167" s="24">
        <f>C167-'Derived 5Y Spreads'!G132</f>
        <v>5.75</v>
      </c>
      <c r="F167" s="24">
        <f>C167-'Derived 5Y Spreads'!G18</f>
        <v>9.04</v>
      </c>
      <c r="G167" s="25">
        <f>'Derived 5Y Spreads'!E167</f>
      </c>
      <c r="H167" s="21" t="str">
        <f>'Derived 5Y Spreads'!O167</f>
        <v>stale</v>
      </c>
      <c r="I167" s="26" t="str">
        <f>'Derived 5Y Spreads'!A167</f>
        <v>screenshot-reference-20260824-v1</v>
      </c>
      <c r="J167" s="26" t="str">
        <f>'Derived 5Y Spreads'!D167</f>
        <v>SCREENSHOT.MSFT.5Y</v>
      </c>
      <c r="K167" s="9"/>
    </row>
    <row r="168" spans="1:11" x14ac:dyDescent="0.25">
      <c r="A168" s="3">
        <v>46217</v>
      </c>
      <c r="B168" s="2" t="s">
        <v>29</v>
      </c>
      <c r="C168" s="18">
        <f>'Derived 5Y Spreads'!G168</f>
        <v>78.25</v>
      </c>
      <c r="D168" s="19">
        <f>C168-'Derived 5Y Spreads'!G161</f>
        <v>-0.75</v>
      </c>
      <c r="E168" s="19">
        <f>C168-'Derived 5Y Spreads'!G133</f>
        <v>7.819999999999993</v>
      </c>
      <c r="F168" s="19">
        <f>C168-'Derived 5Y Spreads'!G19</f>
        <v>7.819999999999993</v>
      </c>
      <c r="G168" s="20">
        <f>'Derived 5Y Spreads'!E168</f>
      </c>
      <c r="H168" s="21" t="str">
        <f>'Derived 5Y Spreads'!O168</f>
        <v>stale</v>
      </c>
      <c r="I168" s="22" t="str">
        <f>'Derived 5Y Spreads'!A168</f>
        <v>screenshot-reference-20260824-v1</v>
      </c>
      <c r="J168" s="22" t="str">
        <f>'Derived 5Y Spreads'!D168</f>
        <v>SCREENSHOT.METAPL.5Y</v>
      </c>
      <c r="K168" s="5"/>
    </row>
    <row r="169" spans="1:11" x14ac:dyDescent="0.25">
      <c r="A169" s="7">
        <v>46218</v>
      </c>
      <c r="B169" s="6" t="s">
        <v>9</v>
      </c>
      <c r="C169" s="23">
        <f>'Derived 5Y Spreads'!G169</f>
        <v>187.29</v>
      </c>
      <c r="D169" s="24">
        <f>C169-'Derived 5Y Spreads'!G162</f>
        <v>0.15000000000000568</v>
      </c>
      <c r="E169" s="24">
        <f>C169-'Derived 5Y Spreads'!G134</f>
        <v>13.150000000000006</v>
      </c>
      <c r="F169" s="24">
        <f>C169-'Derived 5Y Spreads'!G20</f>
        <v>33.28999999999999</v>
      </c>
      <c r="G169" s="25">
        <f>'Derived 5Y Spreads'!E169</f>
      </c>
      <c r="H169" s="21" t="str">
        <f>'Derived 5Y Spreads'!O169</f>
        <v>stale</v>
      </c>
      <c r="I169" s="26" t="str">
        <f>'Derived 5Y Spreads'!A169</f>
        <v>screenshot-reference-20260824-v1</v>
      </c>
      <c r="J169" s="26" t="str">
        <f>'Derived 5Y Spreads'!D169</f>
        <v>SCREENSHOT.ORCLE.5Y</v>
      </c>
      <c r="K169" s="9"/>
    </row>
    <row r="170" spans="1:11" x14ac:dyDescent="0.25">
      <c r="A170" s="3">
        <v>46218</v>
      </c>
      <c r="B170" s="2" t="s">
        <v>14</v>
      </c>
      <c r="C170" s="18">
        <f>'Derived 5Y Spreads'!G170</f>
        <v>650</v>
      </c>
      <c r="D170" s="19">
        <f>C170-'Derived 5Y Spreads'!G163</f>
        <v>15</v>
      </c>
      <c r="E170" s="19">
        <f>C170-'Derived 5Y Spreads'!G135</f>
        <v>50</v>
      </c>
      <c r="F170" s="19">
        <f>C170-'Derived 5Y Spreads'!G21</f>
        <v>161.43</v>
      </c>
      <c r="G170" s="20">
        <f>'Derived 5Y Spreads'!E170</f>
      </c>
      <c r="H170" s="21" t="str">
        <f>'Derived 5Y Spreads'!O170</f>
        <v>stale</v>
      </c>
      <c r="I170" s="22" t="str">
        <f>'Derived 5Y Spreads'!A170</f>
        <v>screenshot-reference-20260824-v1</v>
      </c>
      <c r="J170" s="22" t="str">
        <f>'Derived 5Y Spreads'!D170</f>
        <v>SCREENSHOT.COREWEI.5Y</v>
      </c>
      <c r="K170" s="5"/>
    </row>
    <row r="171" spans="1:11" x14ac:dyDescent="0.25">
      <c r="A171" s="7">
        <v>46218</v>
      </c>
      <c r="B171" s="6" t="s">
        <v>17</v>
      </c>
      <c r="C171" s="23">
        <f>'Derived 5Y Spreads'!G171</f>
        <v>57.33</v>
      </c>
      <c r="D171" s="24">
        <f>C171-'Derived 5Y Spreads'!G164</f>
        <v>0.3299999999999983</v>
      </c>
      <c r="E171" s="24">
        <f>C171-'Derived 5Y Spreads'!G136</f>
        <v>12.329999999999998</v>
      </c>
      <c r="F171" s="24" t="str">
        <f>IFERROR(NA(),"")</f>
        <v/>
      </c>
      <c r="G171" s="25">
        <f>'Derived 5Y Spreads'!E171</f>
      </c>
      <c r="H171" s="21" t="str">
        <f>'Derived 5Y Spreads'!O171</f>
        <v>stale</v>
      </c>
      <c r="I171" s="26" t="str">
        <f>'Derived 5Y Spreads'!A171</f>
        <v>screenshot-reference-20260824-v1</v>
      </c>
      <c r="J171" s="26" t="str">
        <f>'Derived 5Y Spreads'!D171</f>
        <v>SCREENSHOT.NVIDIA.5Y</v>
      </c>
      <c r="K171" s="9"/>
    </row>
    <row r="172" spans="1:11" x14ac:dyDescent="0.25">
      <c r="A172" s="3">
        <v>46218</v>
      </c>
      <c r="B172" s="2" t="s">
        <v>20</v>
      </c>
      <c r="C172" s="18">
        <f>'Derived 5Y Spreads'!G172</f>
        <v>58.5</v>
      </c>
      <c r="D172" s="19">
        <f>C172-'Derived 5Y Spreads'!G165</f>
        <v>-0.75</v>
      </c>
      <c r="E172" s="19">
        <f>C172-'Derived 5Y Spreads'!G137</f>
        <v>3.5</v>
      </c>
      <c r="F172" s="19">
        <f>C172-'Derived 5Y Spreads'!G22</f>
        <v>8.21</v>
      </c>
      <c r="G172" s="20">
        <f>'Derived 5Y Spreads'!E172</f>
      </c>
      <c r="H172" s="21" t="str">
        <f>'Derived 5Y Spreads'!O172</f>
        <v>stale</v>
      </c>
      <c r="I172" s="22" t="str">
        <f>'Derived 5Y Spreads'!A172</f>
        <v>screenshot-reference-20260824-v1</v>
      </c>
      <c r="J172" s="22" t="str">
        <f>'Derived 5Y Spreads'!D172</f>
        <v>SCREENSHOT.AMZN.5Y</v>
      </c>
      <c r="K172" s="5"/>
    </row>
    <row r="173" spans="1:11" x14ac:dyDescent="0.25">
      <c r="A173" s="7">
        <v>46218</v>
      </c>
      <c r="B173" s="6" t="s">
        <v>23</v>
      </c>
      <c r="C173" s="23">
        <f>'Derived 5Y Spreads'!G173</f>
        <v>58.5</v>
      </c>
      <c r="D173" s="24">
        <f>C173-'Derived 5Y Spreads'!G166</f>
        <v>-0.75</v>
      </c>
      <c r="E173" s="24">
        <f>C173-'Derived 5Y Spreads'!G138</f>
        <v>3.5</v>
      </c>
      <c r="F173" s="24">
        <f>C173-'Derived 5Y Spreads'!G23</f>
        <v>9.21</v>
      </c>
      <c r="G173" s="25">
        <f>'Derived 5Y Spreads'!E173</f>
      </c>
      <c r="H173" s="21" t="str">
        <f>'Derived 5Y Spreads'!O173</f>
        <v>stale</v>
      </c>
      <c r="I173" s="26" t="str">
        <f>'Derived 5Y Spreads'!A173</f>
        <v>screenshot-reference-20260824-v1</v>
      </c>
      <c r="J173" s="26" t="str">
        <f>'Derived 5Y Spreads'!D173</f>
        <v>SCREENSHOT.ALPHINC.5Y</v>
      </c>
      <c r="K173" s="9"/>
    </row>
    <row r="174" spans="1:11" x14ac:dyDescent="0.25">
      <c r="A174" s="3">
        <v>46218</v>
      </c>
      <c r="B174" s="2" t="s">
        <v>26</v>
      </c>
      <c r="C174" s="18">
        <f>'Derived 5Y Spreads'!G174</f>
        <v>47.5</v>
      </c>
      <c r="D174" s="19">
        <f>C174-'Derived 5Y Spreads'!G167</f>
        <v>-0.25</v>
      </c>
      <c r="E174" s="19">
        <f>C174-'Derived 5Y Spreads'!G139</f>
        <v>4.5</v>
      </c>
      <c r="F174" s="19">
        <f>C174-'Derived 5Y Spreads'!G24</f>
        <v>9.21</v>
      </c>
      <c r="G174" s="20">
        <f>'Derived 5Y Spreads'!E174</f>
      </c>
      <c r="H174" s="21" t="str">
        <f>'Derived 5Y Spreads'!O174</f>
        <v>stale</v>
      </c>
      <c r="I174" s="22" t="str">
        <f>'Derived 5Y Spreads'!A174</f>
        <v>screenshot-reference-20260824-v1</v>
      </c>
      <c r="J174" s="22" t="str">
        <f>'Derived 5Y Spreads'!D174</f>
        <v>SCREENSHOT.MSFT.5Y</v>
      </c>
      <c r="K174" s="5"/>
    </row>
    <row r="175" spans="1:11" x14ac:dyDescent="0.25">
      <c r="A175" s="7">
        <v>46218</v>
      </c>
      <c r="B175" s="6" t="s">
        <v>29</v>
      </c>
      <c r="C175" s="23">
        <f>'Derived 5Y Spreads'!G175</f>
        <v>77.5</v>
      </c>
      <c r="D175" s="24">
        <f>C175-'Derived 5Y Spreads'!G168</f>
        <v>-0.75</v>
      </c>
      <c r="E175" s="24">
        <f>C175-'Derived 5Y Spreads'!G140</f>
        <v>5.640000000000001</v>
      </c>
      <c r="F175" s="24">
        <f>C175-'Derived 5Y Spreads'!G25</f>
        <v>7.930000000000007</v>
      </c>
      <c r="G175" s="25">
        <f>'Derived 5Y Spreads'!E175</f>
      </c>
      <c r="H175" s="21" t="str">
        <f>'Derived 5Y Spreads'!O175</f>
        <v>stale</v>
      </c>
      <c r="I175" s="26" t="str">
        <f>'Derived 5Y Spreads'!A175</f>
        <v>screenshot-reference-20260824-v1</v>
      </c>
      <c r="J175" s="26" t="str">
        <f>'Derived 5Y Spreads'!D175</f>
        <v>SCREENSHOT.METAPL.5Y</v>
      </c>
      <c r="K175" s="9"/>
    </row>
    <row r="176" spans="1:11" x14ac:dyDescent="0.25">
      <c r="A176" s="3">
        <v>46219</v>
      </c>
      <c r="B176" s="2" t="s">
        <v>9</v>
      </c>
      <c r="C176" s="18">
        <f>'Derived 5Y Spreads'!G176</f>
        <v>187.43</v>
      </c>
      <c r="D176" s="19">
        <f>C176-'Derived 5Y Spreads'!G169</f>
        <v>0.14000000000001478</v>
      </c>
      <c r="E176" s="19">
        <f>C176-'Derived 5Y Spreads'!G141</f>
        <v>10.719999999999999</v>
      </c>
      <c r="F176" s="19">
        <f>C176-'Derived 5Y Spreads'!G26</f>
        <v>32.56999999999999</v>
      </c>
      <c r="G176" s="20">
        <f>'Derived 5Y Spreads'!E176</f>
      </c>
      <c r="H176" s="21" t="str">
        <f>'Derived 5Y Spreads'!O176</f>
        <v>stale</v>
      </c>
      <c r="I176" s="22" t="str">
        <f>'Derived 5Y Spreads'!A176</f>
        <v>screenshot-reference-20260824-v1</v>
      </c>
      <c r="J176" s="22" t="str">
        <f>'Derived 5Y Spreads'!D176</f>
        <v>SCREENSHOT.ORCLE.5Y</v>
      </c>
      <c r="K176" s="5"/>
    </row>
    <row r="177" spans="1:11" x14ac:dyDescent="0.25">
      <c r="A177" s="7">
        <v>46219</v>
      </c>
      <c r="B177" s="6" t="s">
        <v>14</v>
      </c>
      <c r="C177" s="23">
        <f>'Derived 5Y Spreads'!G177</f>
        <v>665</v>
      </c>
      <c r="D177" s="24">
        <f>C177-'Derived 5Y Spreads'!G170</f>
        <v>15</v>
      </c>
      <c r="E177" s="24">
        <f>C177-'Derived 5Y Spreads'!G142</f>
        <v>77.5</v>
      </c>
      <c r="F177" s="24">
        <f>C177-'Derived 5Y Spreads'!G27</f>
        <v>180.70999999999998</v>
      </c>
      <c r="G177" s="25">
        <f>'Derived 5Y Spreads'!E177</f>
      </c>
      <c r="H177" s="21" t="str">
        <f>'Derived 5Y Spreads'!O177</f>
        <v>stale</v>
      </c>
      <c r="I177" s="26" t="str">
        <f>'Derived 5Y Spreads'!A177</f>
        <v>screenshot-reference-20260824-v1</v>
      </c>
      <c r="J177" s="26" t="str">
        <f>'Derived 5Y Spreads'!D177</f>
        <v>SCREENSHOT.COREWEI.5Y</v>
      </c>
      <c r="K177" s="9"/>
    </row>
    <row r="178" spans="1:11" x14ac:dyDescent="0.25">
      <c r="A178" s="3">
        <v>46219</v>
      </c>
      <c r="B178" s="2" t="s">
        <v>17</v>
      </c>
      <c r="C178" s="18">
        <f>'Derived 5Y Spreads'!G178</f>
        <v>57.67</v>
      </c>
      <c r="D178" s="19">
        <f>C178-'Derived 5Y Spreads'!G171</f>
        <v>0.3400000000000034</v>
      </c>
      <c r="E178" s="19">
        <f>C178-'Derived 5Y Spreads'!G143</f>
        <v>10.670000000000002</v>
      </c>
      <c r="F178" s="19" t="str">
        <f>IFERROR(NA(),"")</f>
        <v/>
      </c>
      <c r="G178" s="20">
        <f>'Derived 5Y Spreads'!E178</f>
      </c>
      <c r="H178" s="21" t="str">
        <f>'Derived 5Y Spreads'!O178</f>
        <v>stale</v>
      </c>
      <c r="I178" s="22" t="str">
        <f>'Derived 5Y Spreads'!A178</f>
        <v>screenshot-reference-20260824-v1</v>
      </c>
      <c r="J178" s="22" t="str">
        <f>'Derived 5Y Spreads'!D178</f>
        <v>SCREENSHOT.NVIDIA.5Y</v>
      </c>
      <c r="K178" s="5"/>
    </row>
    <row r="179" spans="1:11" x14ac:dyDescent="0.25">
      <c r="A179" s="7">
        <v>46219</v>
      </c>
      <c r="B179" s="6" t="s">
        <v>20</v>
      </c>
      <c r="C179" s="23">
        <f>'Derived 5Y Spreads'!G179</f>
        <v>57.75</v>
      </c>
      <c r="D179" s="24">
        <f>C179-'Derived 5Y Spreads'!G172</f>
        <v>-0.75</v>
      </c>
      <c r="E179" s="24">
        <f>C179-'Derived 5Y Spreads'!G144</f>
        <v>1.75</v>
      </c>
      <c r="F179" s="24">
        <f>C179-'Derived 5Y Spreads'!G28</f>
        <v>7.609999999999999</v>
      </c>
      <c r="G179" s="25">
        <f>'Derived 5Y Spreads'!E179</f>
      </c>
      <c r="H179" s="21" t="str">
        <f>'Derived 5Y Spreads'!O179</f>
        <v>stale</v>
      </c>
      <c r="I179" s="26" t="str">
        <f>'Derived 5Y Spreads'!A179</f>
        <v>screenshot-reference-20260824-v1</v>
      </c>
      <c r="J179" s="26" t="str">
        <f>'Derived 5Y Spreads'!D179</f>
        <v>SCREENSHOT.AMZN.5Y</v>
      </c>
      <c r="K179" s="9"/>
    </row>
    <row r="180" spans="1:11" x14ac:dyDescent="0.25">
      <c r="A180" s="3">
        <v>46219</v>
      </c>
      <c r="B180" s="2" t="s">
        <v>23</v>
      </c>
      <c r="C180" s="18">
        <f>'Derived 5Y Spreads'!G180</f>
        <v>57.75</v>
      </c>
      <c r="D180" s="19">
        <f>C180-'Derived 5Y Spreads'!G173</f>
        <v>-0.75</v>
      </c>
      <c r="E180" s="19">
        <f>C180-'Derived 5Y Spreads'!G145</f>
        <v>1.75</v>
      </c>
      <c r="F180" s="19">
        <f>C180-'Derived 5Y Spreads'!G29</f>
        <v>8.61</v>
      </c>
      <c r="G180" s="20">
        <f>'Derived 5Y Spreads'!E180</f>
      </c>
      <c r="H180" s="21" t="str">
        <f>'Derived 5Y Spreads'!O180</f>
        <v>stale</v>
      </c>
      <c r="I180" s="22" t="str">
        <f>'Derived 5Y Spreads'!A180</f>
        <v>screenshot-reference-20260824-v1</v>
      </c>
      <c r="J180" s="22" t="str">
        <f>'Derived 5Y Spreads'!D180</f>
        <v>SCREENSHOT.ALPHINC.5Y</v>
      </c>
      <c r="K180" s="5"/>
    </row>
    <row r="181" spans="1:11" x14ac:dyDescent="0.25">
      <c r="A181" s="7">
        <v>46219</v>
      </c>
      <c r="B181" s="6" t="s">
        <v>26</v>
      </c>
      <c r="C181" s="23">
        <f>'Derived 5Y Spreads'!G181</f>
        <v>47.25</v>
      </c>
      <c r="D181" s="24">
        <f>C181-'Derived 5Y Spreads'!G174</f>
        <v>-0.25</v>
      </c>
      <c r="E181" s="24">
        <f>C181-'Derived 5Y Spreads'!G146</f>
        <v>3.25</v>
      </c>
      <c r="F181" s="24">
        <f>C181-'Derived 5Y Spreads'!G30</f>
        <v>9.11</v>
      </c>
      <c r="G181" s="25">
        <f>'Derived 5Y Spreads'!E181</f>
      </c>
      <c r="H181" s="21" t="str">
        <f>'Derived 5Y Spreads'!O181</f>
        <v>stale</v>
      </c>
      <c r="I181" s="26" t="str">
        <f>'Derived 5Y Spreads'!A181</f>
        <v>screenshot-reference-20260824-v1</v>
      </c>
      <c r="J181" s="26" t="str">
        <f>'Derived 5Y Spreads'!D181</f>
        <v>SCREENSHOT.MSFT.5Y</v>
      </c>
      <c r="K181" s="9"/>
    </row>
    <row r="182" spans="1:11" x14ac:dyDescent="0.25">
      <c r="A182" s="3">
        <v>46219</v>
      </c>
      <c r="B182" s="2" t="s">
        <v>29</v>
      </c>
      <c r="C182" s="18">
        <f>'Derived 5Y Spreads'!G182</f>
        <v>76.75</v>
      </c>
      <c r="D182" s="19">
        <f>C182-'Derived 5Y Spreads'!G175</f>
        <v>-0.75</v>
      </c>
      <c r="E182" s="19">
        <f>C182-'Derived 5Y Spreads'!G147</f>
        <v>3.4599999999999937</v>
      </c>
      <c r="F182" s="19">
        <f>C182-'Derived 5Y Spreads'!G31</f>
        <v>7.459999999999994</v>
      </c>
      <c r="G182" s="20">
        <f>'Derived 5Y Spreads'!E182</f>
      </c>
      <c r="H182" s="21" t="str">
        <f>'Derived 5Y Spreads'!O182</f>
        <v>stale</v>
      </c>
      <c r="I182" s="22" t="str">
        <f>'Derived 5Y Spreads'!A182</f>
        <v>screenshot-reference-20260824-v1</v>
      </c>
      <c r="J182" s="22" t="str">
        <f>'Derived 5Y Spreads'!D182</f>
        <v>SCREENSHOT.METAPL.5Y</v>
      </c>
      <c r="K182" s="5"/>
    </row>
    <row r="183" spans="1:11" x14ac:dyDescent="0.25">
      <c r="A183" s="7">
        <v>46220</v>
      </c>
      <c r="B183" s="6" t="s">
        <v>9</v>
      </c>
      <c r="C183" s="23">
        <f>'Derived 5Y Spreads'!G183</f>
        <v>187.57</v>
      </c>
      <c r="D183" s="24">
        <f>C183-'Derived 5Y Spreads'!G176</f>
        <v>0.13999999999998636</v>
      </c>
      <c r="E183" s="24">
        <f>C183-'Derived 5Y Spreads'!G148</f>
        <v>8.280000000000001</v>
      </c>
      <c r="F183" s="24">
        <f>C183-'Derived 5Y Spreads'!G32</f>
        <v>31.859999999999985</v>
      </c>
      <c r="G183" s="25">
        <f>'Derived 5Y Spreads'!E183</f>
      </c>
      <c r="H183" s="21" t="str">
        <f>'Derived 5Y Spreads'!O183</f>
        <v>stale</v>
      </c>
      <c r="I183" s="26" t="str">
        <f>'Derived 5Y Spreads'!A183</f>
        <v>screenshot-reference-20260824-v1</v>
      </c>
      <c r="J183" s="26" t="str">
        <f>'Derived 5Y Spreads'!D183</f>
        <v>SCREENSHOT.ORCLE.5Y</v>
      </c>
      <c r="K183" s="9"/>
    </row>
    <row r="184" spans="1:11" x14ac:dyDescent="0.25">
      <c r="A184" s="3">
        <v>46220</v>
      </c>
      <c r="B184" s="2" t="s">
        <v>14</v>
      </c>
      <c r="C184" s="18">
        <f>'Derived 5Y Spreads'!G184</f>
        <v>680</v>
      </c>
      <c r="D184" s="19">
        <f>C184-'Derived 5Y Spreads'!G177</f>
        <v>15</v>
      </c>
      <c r="E184" s="19">
        <f>C184-'Derived 5Y Spreads'!G149</f>
        <v>105</v>
      </c>
      <c r="F184" s="19">
        <f>C184-'Derived 5Y Spreads'!G33</f>
        <v>200</v>
      </c>
      <c r="G184" s="20">
        <f>'Derived 5Y Spreads'!E184</f>
      </c>
      <c r="H184" s="21" t="str">
        <f>'Derived 5Y Spreads'!O184</f>
        <v>stale</v>
      </c>
      <c r="I184" s="22" t="str">
        <f>'Derived 5Y Spreads'!A184</f>
        <v>screenshot-reference-20260824-v1</v>
      </c>
      <c r="J184" s="22" t="str">
        <f>'Derived 5Y Spreads'!D184</f>
        <v>SCREENSHOT.COREWEI.5Y</v>
      </c>
      <c r="K184" s="5"/>
    </row>
    <row r="185" spans="1:11" x14ac:dyDescent="0.25">
      <c r="A185" s="7">
        <v>46220</v>
      </c>
      <c r="B185" s="6" t="s">
        <v>17</v>
      </c>
      <c r="C185" s="23">
        <f>'Derived 5Y Spreads'!G185</f>
        <v>58</v>
      </c>
      <c r="D185" s="24">
        <f>C185-'Derived 5Y Spreads'!G178</f>
        <v>0.3299999999999983</v>
      </c>
      <c r="E185" s="24">
        <f>C185-'Derived 5Y Spreads'!G150</f>
        <v>9</v>
      </c>
      <c r="F185" s="24" t="str">
        <f>IFERROR(NA(),"")</f>
        <v/>
      </c>
      <c r="G185" s="25">
        <f>'Derived 5Y Spreads'!E185</f>
      </c>
      <c r="H185" s="21" t="str">
        <f>'Derived 5Y Spreads'!O185</f>
        <v>stale</v>
      </c>
      <c r="I185" s="26" t="str">
        <f>'Derived 5Y Spreads'!A185</f>
        <v>screenshot-reference-20260824-v1</v>
      </c>
      <c r="J185" s="26" t="str">
        <f>'Derived 5Y Spreads'!D185</f>
        <v>SCREENSHOT.NVIDIA.5Y</v>
      </c>
      <c r="K185" s="9"/>
    </row>
    <row r="186" spans="1:11" x14ac:dyDescent="0.25">
      <c r="A186" s="3">
        <v>46220</v>
      </c>
      <c r="B186" s="2" t="s">
        <v>20</v>
      </c>
      <c r="C186" s="18">
        <f>'Derived 5Y Spreads'!G186</f>
        <v>57</v>
      </c>
      <c r="D186" s="19">
        <f>C186-'Derived 5Y Spreads'!G179</f>
        <v>-0.75</v>
      </c>
      <c r="E186" s="19">
        <f>C186-'Derived 5Y Spreads'!G151</f>
        <v>0</v>
      </c>
      <c r="F186" s="19">
        <f>C186-'Derived 5Y Spreads'!G34</f>
        <v>7</v>
      </c>
      <c r="G186" s="20">
        <f>'Derived 5Y Spreads'!E186</f>
      </c>
      <c r="H186" s="21" t="str">
        <f>'Derived 5Y Spreads'!O186</f>
        <v>stale</v>
      </c>
      <c r="I186" s="22" t="str">
        <f>'Derived 5Y Spreads'!A186</f>
        <v>screenshot-reference-20260824-v1</v>
      </c>
      <c r="J186" s="22" t="str">
        <f>'Derived 5Y Spreads'!D186</f>
        <v>SCREENSHOT.AMZN.5Y</v>
      </c>
      <c r="K186" s="5"/>
    </row>
    <row r="187" spans="1:11" x14ac:dyDescent="0.25">
      <c r="A187" s="7">
        <v>46220</v>
      </c>
      <c r="B187" s="6" t="s">
        <v>23</v>
      </c>
      <c r="C187" s="23">
        <f>'Derived 5Y Spreads'!G187</f>
        <v>57</v>
      </c>
      <c r="D187" s="24">
        <f>C187-'Derived 5Y Spreads'!G180</f>
        <v>-0.75</v>
      </c>
      <c r="E187" s="24">
        <f>C187-'Derived 5Y Spreads'!G152</f>
        <v>0</v>
      </c>
      <c r="F187" s="24">
        <f>C187-'Derived 5Y Spreads'!G35</f>
        <v>8</v>
      </c>
      <c r="G187" s="25">
        <f>'Derived 5Y Spreads'!E187</f>
      </c>
      <c r="H187" s="21" t="str">
        <f>'Derived 5Y Spreads'!O187</f>
        <v>stale</v>
      </c>
      <c r="I187" s="26" t="str">
        <f>'Derived 5Y Spreads'!A187</f>
        <v>screenshot-reference-20260824-v1</v>
      </c>
      <c r="J187" s="26" t="str">
        <f>'Derived 5Y Spreads'!D187</f>
        <v>SCREENSHOT.ALPHINC.5Y</v>
      </c>
      <c r="K187" s="9"/>
    </row>
    <row r="188" spans="1:11" x14ac:dyDescent="0.25">
      <c r="A188" s="3">
        <v>46220</v>
      </c>
      <c r="B188" s="2" t="s">
        <v>26</v>
      </c>
      <c r="C188" s="18">
        <f>'Derived 5Y Spreads'!G188</f>
        <v>47</v>
      </c>
      <c r="D188" s="19">
        <f>C188-'Derived 5Y Spreads'!G181</f>
        <v>-0.25</v>
      </c>
      <c r="E188" s="19">
        <f>C188-'Derived 5Y Spreads'!G153</f>
        <v>2</v>
      </c>
      <c r="F188" s="19">
        <f>C188-'Derived 5Y Spreads'!G36</f>
        <v>9</v>
      </c>
      <c r="G188" s="20">
        <f>'Derived 5Y Spreads'!E188</f>
      </c>
      <c r="H188" s="21" t="str">
        <f>'Derived 5Y Spreads'!O188</f>
        <v>stale</v>
      </c>
      <c r="I188" s="22" t="str">
        <f>'Derived 5Y Spreads'!A188</f>
        <v>screenshot-reference-20260824-v1</v>
      </c>
      <c r="J188" s="22" t="str">
        <f>'Derived 5Y Spreads'!D188</f>
        <v>SCREENSHOT.MSFT.5Y</v>
      </c>
      <c r="K188" s="5"/>
    </row>
    <row r="189" spans="1:11" x14ac:dyDescent="0.25">
      <c r="A189" s="7">
        <v>46220</v>
      </c>
      <c r="B189" s="6" t="s">
        <v>29</v>
      </c>
      <c r="C189" s="23">
        <f>'Derived 5Y Spreads'!G189</f>
        <v>76</v>
      </c>
      <c r="D189" s="24">
        <f>C189-'Derived 5Y Spreads'!G182</f>
        <v>-0.75</v>
      </c>
      <c r="E189" s="24">
        <f>C189-'Derived 5Y Spreads'!G154</f>
        <v>1.2900000000000063</v>
      </c>
      <c r="F189" s="24">
        <f>C189-'Derived 5Y Spreads'!G37</f>
        <v>7</v>
      </c>
      <c r="G189" s="25">
        <f>'Derived 5Y Spreads'!E189</f>
      </c>
      <c r="H189" s="21" t="str">
        <f>'Derived 5Y Spreads'!O189</f>
        <v>stale</v>
      </c>
      <c r="I189" s="26" t="str">
        <f>'Derived 5Y Spreads'!A189</f>
        <v>screenshot-reference-20260824-v1</v>
      </c>
      <c r="J189" s="26" t="str">
        <f>'Derived 5Y Spreads'!D189</f>
        <v>SCREENSHOT.METAPL.5Y</v>
      </c>
      <c r="K189" s="9"/>
    </row>
    <row r="190" spans="1:11" x14ac:dyDescent="0.25">
      <c r="A190" s="3">
        <v>46223</v>
      </c>
      <c r="B190" s="2" t="s">
        <v>9</v>
      </c>
      <c r="C190" s="18">
        <f>'Derived 5Y Spreads'!G190</f>
        <v>188</v>
      </c>
      <c r="D190" s="19">
        <f>C190-'Derived 5Y Spreads'!G183</f>
        <v>0.4300000000000068</v>
      </c>
      <c r="E190" s="19">
        <f>C190-'Derived 5Y Spreads'!G155</f>
        <v>1</v>
      </c>
      <c r="F190" s="19">
        <f>C190-'Derived 5Y Spreads'!G44</f>
        <v>30.569999999999993</v>
      </c>
      <c r="G190" s="20">
        <f>'Derived 5Y Spreads'!E190</f>
      </c>
      <c r="H190" s="21" t="str">
        <f>'Derived 5Y Spreads'!O190</f>
        <v>stale</v>
      </c>
      <c r="I190" s="22" t="str">
        <f>'Derived 5Y Spreads'!A190</f>
        <v>screenshot-reference-20260824-v1</v>
      </c>
      <c r="J190" s="22" t="str">
        <f>'Derived 5Y Spreads'!D190</f>
        <v>SCREENSHOT.ORCLE.5Y</v>
      </c>
      <c r="K190" s="5"/>
    </row>
    <row r="191" spans="1:11" x14ac:dyDescent="0.25">
      <c r="A191" s="7">
        <v>46223</v>
      </c>
      <c r="B191" s="6" t="s">
        <v>14</v>
      </c>
      <c r="C191" s="23">
        <f>'Derived 5Y Spreads'!G191</f>
        <v>687.5</v>
      </c>
      <c r="D191" s="24">
        <f>C191-'Derived 5Y Spreads'!G184</f>
        <v>7.5</v>
      </c>
      <c r="E191" s="24">
        <f>C191-'Derived 5Y Spreads'!G156</f>
        <v>67.5</v>
      </c>
      <c r="F191" s="24">
        <f>C191-'Derived 5Y Spreads'!G45</f>
        <v>186.07</v>
      </c>
      <c r="G191" s="25">
        <f>'Derived 5Y Spreads'!E191</f>
      </c>
      <c r="H191" s="21" t="str">
        <f>'Derived 5Y Spreads'!O191</f>
        <v>stale</v>
      </c>
      <c r="I191" s="26" t="str">
        <f>'Derived 5Y Spreads'!A191</f>
        <v>screenshot-reference-20260824-v1</v>
      </c>
      <c r="J191" s="26" t="str">
        <f>'Derived 5Y Spreads'!D191</f>
        <v>SCREENSHOT.COREWEI.5Y</v>
      </c>
      <c r="K191" s="9"/>
    </row>
    <row r="192" spans="1:11" x14ac:dyDescent="0.25">
      <c r="A192" s="3">
        <v>46223</v>
      </c>
      <c r="B192" s="2" t="s">
        <v>17</v>
      </c>
      <c r="C192" s="18">
        <f>'Derived 5Y Spreads'!G192</f>
        <v>59</v>
      </c>
      <c r="D192" s="19">
        <f>C192-'Derived 5Y Spreads'!G185</f>
        <v>1</v>
      </c>
      <c r="E192" s="19">
        <f>C192-'Derived 5Y Spreads'!G157</f>
        <v>4</v>
      </c>
      <c r="F192" s="19" t="str">
        <f>IFERROR(NA(),"")</f>
        <v/>
      </c>
      <c r="G192" s="20">
        <f>'Derived 5Y Spreads'!E192</f>
      </c>
      <c r="H192" s="21" t="str">
        <f>'Derived 5Y Spreads'!O192</f>
        <v>stale</v>
      </c>
      <c r="I192" s="22" t="str">
        <f>'Derived 5Y Spreads'!A192</f>
        <v>screenshot-reference-20260824-v1</v>
      </c>
      <c r="J192" s="22" t="str">
        <f>'Derived 5Y Spreads'!D192</f>
        <v>SCREENSHOT.NVIDIA.5Y</v>
      </c>
      <c r="K192" s="5"/>
    </row>
    <row r="193" spans="1:11" x14ac:dyDescent="0.25">
      <c r="A193" s="7">
        <v>46223</v>
      </c>
      <c r="B193" s="6" t="s">
        <v>20</v>
      </c>
      <c r="C193" s="23">
        <f>'Derived 5Y Spreads'!G193</f>
        <v>58.2</v>
      </c>
      <c r="D193" s="24">
        <f>C193-'Derived 5Y Spreads'!G186</f>
        <v>1.2000000000000028</v>
      </c>
      <c r="E193" s="24">
        <f>C193-'Derived 5Y Spreads'!G158</f>
        <v>-1.7999999999999972</v>
      </c>
      <c r="F193" s="24">
        <f>C193-'Derived 5Y Spreads'!G46</f>
        <v>7.060000000000002</v>
      </c>
      <c r="G193" s="25">
        <f>'Derived 5Y Spreads'!E193</f>
      </c>
      <c r="H193" s="21" t="str">
        <f>'Derived 5Y Spreads'!O193</f>
        <v>stale</v>
      </c>
      <c r="I193" s="26" t="str">
        <f>'Derived 5Y Spreads'!A193</f>
        <v>screenshot-reference-20260824-v1</v>
      </c>
      <c r="J193" s="26" t="str">
        <f>'Derived 5Y Spreads'!D193</f>
        <v>SCREENSHOT.AMZN.5Y</v>
      </c>
      <c r="K193" s="9"/>
    </row>
    <row r="194" spans="1:11" x14ac:dyDescent="0.25">
      <c r="A194" s="3">
        <v>46223</v>
      </c>
      <c r="B194" s="2" t="s">
        <v>23</v>
      </c>
      <c r="C194" s="18">
        <f>'Derived 5Y Spreads'!G194</f>
        <v>58.5</v>
      </c>
      <c r="D194" s="19">
        <f>C194-'Derived 5Y Spreads'!G187</f>
        <v>1.5</v>
      </c>
      <c r="E194" s="19">
        <f>C194-'Derived 5Y Spreads'!G159</f>
        <v>-1.5</v>
      </c>
      <c r="F194" s="19">
        <f>C194-'Derived 5Y Spreads'!G47</f>
        <v>8.64</v>
      </c>
      <c r="G194" s="20">
        <f>'Derived 5Y Spreads'!E194</f>
      </c>
      <c r="H194" s="21" t="str">
        <f>'Derived 5Y Spreads'!O194</f>
        <v>stale</v>
      </c>
      <c r="I194" s="22" t="str">
        <f>'Derived 5Y Spreads'!A194</f>
        <v>screenshot-reference-20260824-v1</v>
      </c>
      <c r="J194" s="22" t="str">
        <f>'Derived 5Y Spreads'!D194</f>
        <v>SCREENSHOT.ALPHINC.5Y</v>
      </c>
      <c r="K194" s="5"/>
    </row>
    <row r="195" spans="1:11" x14ac:dyDescent="0.25">
      <c r="A195" s="7">
        <v>46223</v>
      </c>
      <c r="B195" s="6" t="s">
        <v>26</v>
      </c>
      <c r="C195" s="23">
        <f>'Derived 5Y Spreads'!G195</f>
        <v>47.6</v>
      </c>
      <c r="D195" s="24">
        <f>C195-'Derived 5Y Spreads'!G188</f>
        <v>0.6000000000000014</v>
      </c>
      <c r="E195" s="24">
        <f>C195-'Derived 5Y Spreads'!G160</f>
        <v>-0.3999999999999986</v>
      </c>
      <c r="F195" s="24">
        <f>C195-'Derived 5Y Spreads'!G48</f>
        <v>9.030000000000001</v>
      </c>
      <c r="G195" s="25">
        <f>'Derived 5Y Spreads'!E195</f>
      </c>
      <c r="H195" s="21" t="str">
        <f>'Derived 5Y Spreads'!O195</f>
        <v>stale</v>
      </c>
      <c r="I195" s="26" t="str">
        <f>'Derived 5Y Spreads'!A195</f>
        <v>screenshot-reference-20260824-v1</v>
      </c>
      <c r="J195" s="26" t="str">
        <f>'Derived 5Y Spreads'!D195</f>
        <v>SCREENSHOT.MSFT.5Y</v>
      </c>
      <c r="K195" s="9"/>
    </row>
    <row r="196" spans="1:11" x14ac:dyDescent="0.25">
      <c r="A196" s="3">
        <v>46223</v>
      </c>
      <c r="B196" s="2" t="s">
        <v>29</v>
      </c>
      <c r="C196" s="18">
        <f>'Derived 5Y Spreads'!G196</f>
        <v>77.8</v>
      </c>
      <c r="D196" s="19">
        <f>C196-'Derived 5Y Spreads'!G189</f>
        <v>1.7999999999999972</v>
      </c>
      <c r="E196" s="19">
        <f>C196-'Derived 5Y Spreads'!G161</f>
        <v>-1.2000000000000028</v>
      </c>
      <c r="F196" s="19">
        <f>C196-'Derived 5Y Spreads'!G49</f>
        <v>8.230000000000004</v>
      </c>
      <c r="G196" s="20">
        <f>'Derived 5Y Spreads'!E196</f>
      </c>
      <c r="H196" s="21" t="str">
        <f>'Derived 5Y Spreads'!O196</f>
        <v>stale</v>
      </c>
      <c r="I196" s="22" t="str">
        <f>'Derived 5Y Spreads'!A196</f>
        <v>screenshot-reference-20260824-v1</v>
      </c>
      <c r="J196" s="22" t="str">
        <f>'Derived 5Y Spreads'!D196</f>
        <v>SCREENSHOT.METAPL.5Y</v>
      </c>
      <c r="K196" s="5"/>
    </row>
    <row r="197" spans="1:11" x14ac:dyDescent="0.25">
      <c r="A197" s="7">
        <v>46224</v>
      </c>
      <c r="B197" s="6" t="s">
        <v>9</v>
      </c>
      <c r="C197" s="23">
        <f>'Derived 5Y Spreads'!G197</f>
        <v>192.25</v>
      </c>
      <c r="D197" s="24">
        <f>C197-'Derived 5Y Spreads'!G190</f>
        <v>4.25</v>
      </c>
      <c r="E197" s="24">
        <f>C197-'Derived 5Y Spreads'!G162</f>
        <v>5.110000000000014</v>
      </c>
      <c r="F197" s="24">
        <f>C197-'Derived 5Y Spreads'!G44</f>
        <v>34.81999999999999</v>
      </c>
      <c r="G197" s="25">
        <f>'Derived 5Y Spreads'!E197</f>
      </c>
      <c r="H197" s="21" t="str">
        <f>'Derived 5Y Spreads'!O197</f>
        <v>stale</v>
      </c>
      <c r="I197" s="26" t="str">
        <f>'Derived 5Y Spreads'!A197</f>
        <v>screenshot-reference-20260824-v1</v>
      </c>
      <c r="J197" s="26" t="str">
        <f>'Derived 5Y Spreads'!D197</f>
        <v>SCREENSHOT.ORCLE.5Y</v>
      </c>
      <c r="K197" s="9"/>
    </row>
    <row r="198" spans="1:11" x14ac:dyDescent="0.25">
      <c r="A198" s="3">
        <v>46224</v>
      </c>
      <c r="B198" s="2" t="s">
        <v>14</v>
      </c>
      <c r="C198" s="18">
        <f>'Derived 5Y Spreads'!G198</f>
        <v>690</v>
      </c>
      <c r="D198" s="19">
        <f>C198-'Derived 5Y Spreads'!G191</f>
        <v>2.5</v>
      </c>
      <c r="E198" s="19">
        <f>C198-'Derived 5Y Spreads'!G163</f>
        <v>55</v>
      </c>
      <c r="F198" s="19">
        <f>C198-'Derived 5Y Spreads'!G45</f>
        <v>188.57</v>
      </c>
      <c r="G198" s="20">
        <f>'Derived 5Y Spreads'!E198</f>
      </c>
      <c r="H198" s="21" t="str">
        <f>'Derived 5Y Spreads'!O198</f>
        <v>stale</v>
      </c>
      <c r="I198" s="22" t="str">
        <f>'Derived 5Y Spreads'!A198</f>
        <v>screenshot-reference-20260824-v1</v>
      </c>
      <c r="J198" s="22" t="str">
        <f>'Derived 5Y Spreads'!D198</f>
        <v>SCREENSHOT.COREWEI.5Y</v>
      </c>
      <c r="K198" s="5"/>
    </row>
    <row r="199" spans="1:11" x14ac:dyDescent="0.25">
      <c r="A199" s="7">
        <v>46224</v>
      </c>
      <c r="B199" s="6" t="s">
        <v>17</v>
      </c>
      <c r="C199" s="23">
        <f>'Derived 5Y Spreads'!G199</f>
        <v>61.75</v>
      </c>
      <c r="D199" s="24">
        <f>C199-'Derived 5Y Spreads'!G192</f>
        <v>2.75</v>
      </c>
      <c r="E199" s="24">
        <f>C199-'Derived 5Y Spreads'!G164</f>
        <v>4.75</v>
      </c>
      <c r="F199" s="24" t="str">
        <f>IFERROR(NA(),"")</f>
        <v/>
      </c>
      <c r="G199" s="25">
        <f>'Derived 5Y Spreads'!E199</f>
      </c>
      <c r="H199" s="21" t="str">
        <f>'Derived 5Y Spreads'!O199</f>
        <v>stale</v>
      </c>
      <c r="I199" s="26" t="str">
        <f>'Derived 5Y Spreads'!A199</f>
        <v>screenshot-reference-20260824-v1</v>
      </c>
      <c r="J199" s="26" t="str">
        <f>'Derived 5Y Spreads'!D199</f>
        <v>SCREENSHOT.NVIDIA.5Y</v>
      </c>
      <c r="K199" s="9"/>
    </row>
    <row r="200" spans="1:11" x14ac:dyDescent="0.25">
      <c r="A200" s="3">
        <v>46224</v>
      </c>
      <c r="B200" s="2" t="s">
        <v>20</v>
      </c>
      <c r="C200" s="18">
        <f>'Derived 5Y Spreads'!G200</f>
        <v>58.6</v>
      </c>
      <c r="D200" s="19">
        <f>C200-'Derived 5Y Spreads'!G193</f>
        <v>0.3999999999999986</v>
      </c>
      <c r="E200" s="19">
        <f>C200-'Derived 5Y Spreads'!G165</f>
        <v>-0.6499999999999986</v>
      </c>
      <c r="F200" s="19">
        <f>C200-'Derived 5Y Spreads'!G46</f>
        <v>7.460000000000001</v>
      </c>
      <c r="G200" s="20">
        <f>'Derived 5Y Spreads'!E200</f>
      </c>
      <c r="H200" s="21" t="str">
        <f>'Derived 5Y Spreads'!O200</f>
        <v>stale</v>
      </c>
      <c r="I200" s="22" t="str">
        <f>'Derived 5Y Spreads'!A200</f>
        <v>screenshot-reference-20260824-v1</v>
      </c>
      <c r="J200" s="22" t="str">
        <f>'Derived 5Y Spreads'!D200</f>
        <v>SCREENSHOT.AMZN.5Y</v>
      </c>
      <c r="K200" s="5"/>
    </row>
    <row r="201" spans="1:11" x14ac:dyDescent="0.25">
      <c r="A201" s="7">
        <v>46224</v>
      </c>
      <c r="B201" s="6" t="s">
        <v>23</v>
      </c>
      <c r="C201" s="23">
        <f>'Derived 5Y Spreads'!G201</f>
        <v>59</v>
      </c>
      <c r="D201" s="24">
        <f>C201-'Derived 5Y Spreads'!G194</f>
        <v>0.5</v>
      </c>
      <c r="E201" s="24">
        <f>C201-'Derived 5Y Spreads'!G166</f>
        <v>-0.25</v>
      </c>
      <c r="F201" s="24">
        <f>C201-'Derived 5Y Spreads'!G47</f>
        <v>9.14</v>
      </c>
      <c r="G201" s="25">
        <f>'Derived 5Y Spreads'!E201</f>
      </c>
      <c r="H201" s="21" t="str">
        <f>'Derived 5Y Spreads'!O201</f>
        <v>stale</v>
      </c>
      <c r="I201" s="26" t="str">
        <f>'Derived 5Y Spreads'!A201</f>
        <v>screenshot-reference-20260824-v1</v>
      </c>
      <c r="J201" s="26" t="str">
        <f>'Derived 5Y Spreads'!D201</f>
        <v>SCREENSHOT.ALPHINC.5Y</v>
      </c>
      <c r="K201" s="9"/>
    </row>
    <row r="202" spans="1:11" x14ac:dyDescent="0.25">
      <c r="A202" s="3">
        <v>46224</v>
      </c>
      <c r="B202" s="2" t="s">
        <v>26</v>
      </c>
      <c r="C202" s="18">
        <f>'Derived 5Y Spreads'!G202</f>
        <v>47.8</v>
      </c>
      <c r="D202" s="19">
        <f>C202-'Derived 5Y Spreads'!G195</f>
        <v>0.19999999999999574</v>
      </c>
      <c r="E202" s="19">
        <f>C202-'Derived 5Y Spreads'!G167</f>
        <v>0.04999999999999716</v>
      </c>
      <c r="F202" s="19">
        <f>C202-'Derived 5Y Spreads'!G48</f>
        <v>9.229999999999997</v>
      </c>
      <c r="G202" s="20">
        <f>'Derived 5Y Spreads'!E202</f>
      </c>
      <c r="H202" s="21" t="str">
        <f>'Derived 5Y Spreads'!O202</f>
        <v>stale</v>
      </c>
      <c r="I202" s="22" t="str">
        <f>'Derived 5Y Spreads'!A202</f>
        <v>screenshot-reference-20260824-v1</v>
      </c>
      <c r="J202" s="22" t="str">
        <f>'Derived 5Y Spreads'!D202</f>
        <v>SCREENSHOT.MSFT.5Y</v>
      </c>
      <c r="K202" s="5"/>
    </row>
    <row r="203" spans="1:11" x14ac:dyDescent="0.25">
      <c r="A203" s="7">
        <v>46224</v>
      </c>
      <c r="B203" s="6" t="s">
        <v>29</v>
      </c>
      <c r="C203" s="23">
        <f>'Derived 5Y Spreads'!G203</f>
        <v>78.4</v>
      </c>
      <c r="D203" s="24">
        <f>C203-'Derived 5Y Spreads'!G196</f>
        <v>0.6000000000000085</v>
      </c>
      <c r="E203" s="24">
        <f>C203-'Derived 5Y Spreads'!G168</f>
        <v>0.15000000000000568</v>
      </c>
      <c r="F203" s="24">
        <f>C203-'Derived 5Y Spreads'!G49</f>
        <v>8.830000000000013</v>
      </c>
      <c r="G203" s="25">
        <f>'Derived 5Y Spreads'!E203</f>
      </c>
      <c r="H203" s="21" t="str">
        <f>'Derived 5Y Spreads'!O203</f>
        <v>stale</v>
      </c>
      <c r="I203" s="26" t="str">
        <f>'Derived 5Y Spreads'!A203</f>
        <v>screenshot-reference-20260824-v1</v>
      </c>
      <c r="J203" s="26" t="str">
        <f>'Derived 5Y Spreads'!D203</f>
        <v>SCREENSHOT.METAPL.5Y</v>
      </c>
      <c r="K203" s="9"/>
    </row>
    <row r="204" spans="1:11" x14ac:dyDescent="0.25">
      <c r="A204" s="3">
        <v>46225</v>
      </c>
      <c r="B204" s="2" t="s">
        <v>9</v>
      </c>
      <c r="C204" s="18">
        <f>'Derived 5Y Spreads'!G204</f>
        <v>196.5</v>
      </c>
      <c r="D204" s="19">
        <f>C204-'Derived 5Y Spreads'!G197</f>
        <v>4.25</v>
      </c>
      <c r="E204" s="19">
        <f>C204-'Derived 5Y Spreads'!G169</f>
        <v>9.210000000000008</v>
      </c>
      <c r="F204" s="19">
        <f>C204-'Derived 5Y Spreads'!G50</f>
        <v>36.5</v>
      </c>
      <c r="G204" s="20">
        <f>'Derived 5Y Spreads'!E204</f>
      </c>
      <c r="H204" s="21" t="str">
        <f>'Derived 5Y Spreads'!O204</f>
        <v>stale</v>
      </c>
      <c r="I204" s="22" t="str">
        <f>'Derived 5Y Spreads'!A204</f>
        <v>screenshot-reference-20260824-v1</v>
      </c>
      <c r="J204" s="22" t="str">
        <f>'Derived 5Y Spreads'!D204</f>
        <v>SCREENSHOT.ORCLE.5Y</v>
      </c>
      <c r="K204" s="5"/>
    </row>
    <row r="205" spans="1:11" x14ac:dyDescent="0.25">
      <c r="A205" s="7">
        <v>46225</v>
      </c>
      <c r="B205" s="6" t="s">
        <v>14</v>
      </c>
      <c r="C205" s="23">
        <f>'Derived 5Y Spreads'!G205</f>
        <v>700</v>
      </c>
      <c r="D205" s="24">
        <f>C205-'Derived 5Y Spreads'!G198</f>
        <v>10</v>
      </c>
      <c r="E205" s="24">
        <f>C205-'Derived 5Y Spreads'!G170</f>
        <v>50</v>
      </c>
      <c r="F205" s="24">
        <f>C205-'Derived 5Y Spreads'!G51</f>
        <v>166.42999999999995</v>
      </c>
      <c r="G205" s="25">
        <f>'Derived 5Y Spreads'!E205</f>
      </c>
      <c r="H205" s="21" t="str">
        <f>'Derived 5Y Spreads'!O205</f>
        <v>stale</v>
      </c>
      <c r="I205" s="26" t="str">
        <f>'Derived 5Y Spreads'!A205</f>
        <v>screenshot-reference-20260824-v1</v>
      </c>
      <c r="J205" s="26" t="str">
        <f>'Derived 5Y Spreads'!D205</f>
        <v>SCREENSHOT.COREWEI.5Y</v>
      </c>
      <c r="K205" s="9"/>
    </row>
    <row r="206" spans="1:11" x14ac:dyDescent="0.25">
      <c r="A206" s="3">
        <v>46225</v>
      </c>
      <c r="B206" s="2" t="s">
        <v>17</v>
      </c>
      <c r="C206" s="18">
        <f>'Derived 5Y Spreads'!G206</f>
        <v>64.5</v>
      </c>
      <c r="D206" s="19">
        <f>C206-'Derived 5Y Spreads'!G199</f>
        <v>2.75</v>
      </c>
      <c r="E206" s="19">
        <f>C206-'Derived 5Y Spreads'!G171</f>
        <v>7.170000000000002</v>
      </c>
      <c r="F206" s="19">
        <f>C206-'Derived 5Y Spreads'!G52</f>
        <v>24.5</v>
      </c>
      <c r="G206" s="20">
        <f>'Derived 5Y Spreads'!E206</f>
      </c>
      <c r="H206" s="21" t="str">
        <f>'Derived 5Y Spreads'!O206</f>
        <v>stale</v>
      </c>
      <c r="I206" s="22" t="str">
        <f>'Derived 5Y Spreads'!A206</f>
        <v>screenshot-reference-20260824-v1</v>
      </c>
      <c r="J206" s="22" t="str">
        <f>'Derived 5Y Spreads'!D206</f>
        <v>SCREENSHOT.NVIDIA.5Y</v>
      </c>
      <c r="K206" s="5"/>
    </row>
    <row r="207" spans="1:11" x14ac:dyDescent="0.25">
      <c r="A207" s="7">
        <v>46225</v>
      </c>
      <c r="B207" s="6" t="s">
        <v>20</v>
      </c>
      <c r="C207" s="23">
        <f>'Derived 5Y Spreads'!G207</f>
        <v>59</v>
      </c>
      <c r="D207" s="24">
        <f>C207-'Derived 5Y Spreads'!G200</f>
        <v>0.3999999999999986</v>
      </c>
      <c r="E207" s="24">
        <f>C207-'Derived 5Y Spreads'!G172</f>
        <v>0.5</v>
      </c>
      <c r="F207" s="24">
        <f>C207-'Derived 5Y Spreads'!G53</f>
        <v>6.140000000000001</v>
      </c>
      <c r="G207" s="25">
        <f>'Derived 5Y Spreads'!E207</f>
      </c>
      <c r="H207" s="21" t="str">
        <f>'Derived 5Y Spreads'!O207</f>
        <v>stale</v>
      </c>
      <c r="I207" s="26" t="str">
        <f>'Derived 5Y Spreads'!A207</f>
        <v>screenshot-reference-20260824-v1</v>
      </c>
      <c r="J207" s="26" t="str">
        <f>'Derived 5Y Spreads'!D207</f>
        <v>SCREENSHOT.AMZN.5Y</v>
      </c>
      <c r="K207" s="9"/>
    </row>
    <row r="208" spans="1:11" x14ac:dyDescent="0.25">
      <c r="A208" s="3">
        <v>46225</v>
      </c>
      <c r="B208" s="2" t="s">
        <v>23</v>
      </c>
      <c r="C208" s="18">
        <f>'Derived 5Y Spreads'!G208</f>
        <v>60.67</v>
      </c>
      <c r="D208" s="19">
        <f>C208-'Derived 5Y Spreads'!G201</f>
        <v>1.6700000000000017</v>
      </c>
      <c r="E208" s="19">
        <f>C208-'Derived 5Y Spreads'!G173</f>
        <v>2.1700000000000017</v>
      </c>
      <c r="F208" s="19">
        <f>C208-'Derived 5Y Spreads'!G54</f>
        <v>9.530000000000001</v>
      </c>
      <c r="G208" s="20">
        <f>'Derived 5Y Spreads'!E208</f>
      </c>
      <c r="H208" s="21" t="str">
        <f>'Derived 5Y Spreads'!O208</f>
        <v>stale</v>
      </c>
      <c r="I208" s="22" t="str">
        <f>'Derived 5Y Spreads'!A208</f>
        <v>screenshot-reference-20260824-v1</v>
      </c>
      <c r="J208" s="22" t="str">
        <f>'Derived 5Y Spreads'!D208</f>
        <v>SCREENSHOT.ALPHINC.5Y</v>
      </c>
      <c r="K208" s="5"/>
    </row>
    <row r="209" spans="1:11" x14ac:dyDescent="0.25">
      <c r="A209" s="7">
        <v>46225</v>
      </c>
      <c r="B209" s="6" t="s">
        <v>26</v>
      </c>
      <c r="C209" s="23">
        <f>'Derived 5Y Spreads'!G209</f>
        <v>48</v>
      </c>
      <c r="D209" s="24">
        <f>C209-'Derived 5Y Spreads'!G202</f>
        <v>0.20000000000000284</v>
      </c>
      <c r="E209" s="24">
        <f>C209-'Derived 5Y Spreads'!G174</f>
        <v>0.5</v>
      </c>
      <c r="F209" s="24">
        <f>C209-'Derived 5Y Spreads'!G55</f>
        <v>8.57</v>
      </c>
      <c r="G209" s="25">
        <f>'Derived 5Y Spreads'!E209</f>
      </c>
      <c r="H209" s="21" t="str">
        <f>'Derived 5Y Spreads'!O209</f>
        <v>stale</v>
      </c>
      <c r="I209" s="26" t="str">
        <f>'Derived 5Y Spreads'!A209</f>
        <v>screenshot-reference-20260824-v1</v>
      </c>
      <c r="J209" s="26" t="str">
        <f>'Derived 5Y Spreads'!D209</f>
        <v>SCREENSHOT.MSFT.5Y</v>
      </c>
      <c r="K209" s="9"/>
    </row>
    <row r="210" spans="1:11" x14ac:dyDescent="0.25">
      <c r="A210" s="3">
        <v>46225</v>
      </c>
      <c r="B210" s="2" t="s">
        <v>29</v>
      </c>
      <c r="C210" s="18">
        <f>'Derived 5Y Spreads'!G210</f>
        <v>79</v>
      </c>
      <c r="D210" s="19">
        <f>C210-'Derived 5Y Spreads'!G203</f>
        <v>0.5999999999999943</v>
      </c>
      <c r="E210" s="19">
        <f>C210-'Derived 5Y Spreads'!G175</f>
        <v>1.5</v>
      </c>
      <c r="F210" s="19">
        <f>C210-'Derived 5Y Spreads'!G56</f>
        <v>8.569999999999993</v>
      </c>
      <c r="G210" s="20">
        <f>'Derived 5Y Spreads'!E210</f>
      </c>
      <c r="H210" s="21" t="str">
        <f>'Derived 5Y Spreads'!O210</f>
        <v>stale</v>
      </c>
      <c r="I210" s="22" t="str">
        <f>'Derived 5Y Spreads'!A210</f>
        <v>screenshot-reference-20260824-v1</v>
      </c>
      <c r="J210" s="22" t="str">
        <f>'Derived 5Y Spreads'!D210</f>
        <v>SCREENSHOT.METAPL.5Y</v>
      </c>
      <c r="K210" s="5"/>
    </row>
    <row r="211" spans="1:11" x14ac:dyDescent="0.25">
      <c r="A211" s="7">
        <v>46226</v>
      </c>
      <c r="B211" s="6" t="s">
        <v>9</v>
      </c>
      <c r="C211" s="23">
        <f>'Derived 5Y Spreads'!G211</f>
        <v>200.75</v>
      </c>
      <c r="D211" s="24">
        <f>C211-'Derived 5Y Spreads'!G204</f>
        <v>4.25</v>
      </c>
      <c r="E211" s="24">
        <f>C211-'Derived 5Y Spreads'!G176</f>
        <v>13.319999999999993</v>
      </c>
      <c r="F211" s="24">
        <f>C211-'Derived 5Y Spreads'!G57</f>
        <v>39.18000000000001</v>
      </c>
      <c r="G211" s="25">
        <f>'Derived 5Y Spreads'!E211</f>
      </c>
      <c r="H211" s="21" t="str">
        <f>'Derived 5Y Spreads'!O211</f>
        <v>stale</v>
      </c>
      <c r="I211" s="26" t="str">
        <f>'Derived 5Y Spreads'!A211</f>
        <v>screenshot-reference-20260824-v1</v>
      </c>
      <c r="J211" s="26" t="str">
        <f>'Derived 5Y Spreads'!D211</f>
        <v>SCREENSHOT.ORCLE.5Y</v>
      </c>
      <c r="K211" s="9"/>
    </row>
    <row r="212" spans="1:11" x14ac:dyDescent="0.25">
      <c r="A212" s="3">
        <v>46226</v>
      </c>
      <c r="B212" s="2" t="s">
        <v>14</v>
      </c>
      <c r="C212" s="18">
        <f>'Derived 5Y Spreads'!G212</f>
        <v>710</v>
      </c>
      <c r="D212" s="19">
        <f>C212-'Derived 5Y Spreads'!G205</f>
        <v>10</v>
      </c>
      <c r="E212" s="19">
        <f>C212-'Derived 5Y Spreads'!G177</f>
        <v>45</v>
      </c>
      <c r="F212" s="19">
        <f>C212-'Derived 5Y Spreads'!G58</f>
        <v>165.71000000000004</v>
      </c>
      <c r="G212" s="20">
        <f>'Derived 5Y Spreads'!E212</f>
      </c>
      <c r="H212" s="21" t="str">
        <f>'Derived 5Y Spreads'!O212</f>
        <v>stale</v>
      </c>
      <c r="I212" s="22" t="str">
        <f>'Derived 5Y Spreads'!A212</f>
        <v>screenshot-reference-20260824-v1</v>
      </c>
      <c r="J212" s="22" t="str">
        <f>'Derived 5Y Spreads'!D212</f>
        <v>SCREENSHOT.COREWEI.5Y</v>
      </c>
      <c r="K212" s="5"/>
    </row>
    <row r="213" spans="1:11" x14ac:dyDescent="0.25">
      <c r="A213" s="7">
        <v>46226</v>
      </c>
      <c r="B213" s="6" t="s">
        <v>17</v>
      </c>
      <c r="C213" s="23">
        <f>'Derived 5Y Spreads'!G213</f>
        <v>67.25</v>
      </c>
      <c r="D213" s="24">
        <f>C213-'Derived 5Y Spreads'!G206</f>
        <v>2.75</v>
      </c>
      <c r="E213" s="24">
        <f>C213-'Derived 5Y Spreads'!G178</f>
        <v>9.579999999999998</v>
      </c>
      <c r="F213" s="24">
        <f>C213-'Derived 5Y Spreads'!G59</f>
        <v>26.39</v>
      </c>
      <c r="G213" s="25">
        <f>'Derived 5Y Spreads'!E213</f>
      </c>
      <c r="H213" s="21" t="str">
        <f>'Derived 5Y Spreads'!O213</f>
        <v>stale</v>
      </c>
      <c r="I213" s="26" t="str">
        <f>'Derived 5Y Spreads'!A213</f>
        <v>screenshot-reference-20260824-v1</v>
      </c>
      <c r="J213" s="26" t="str">
        <f>'Derived 5Y Spreads'!D213</f>
        <v>SCREENSHOT.NVIDIA.5Y</v>
      </c>
      <c r="K213" s="9"/>
    </row>
    <row r="214" spans="1:11" x14ac:dyDescent="0.25">
      <c r="A214" s="3">
        <v>46226</v>
      </c>
      <c r="B214" s="2" t="s">
        <v>20</v>
      </c>
      <c r="C214" s="18">
        <f>'Derived 5Y Spreads'!G214</f>
        <v>60.6</v>
      </c>
      <c r="D214" s="19">
        <f>C214-'Derived 5Y Spreads'!G207</f>
        <v>1.6000000000000014</v>
      </c>
      <c r="E214" s="19">
        <f>C214-'Derived 5Y Spreads'!G179</f>
        <v>2.8500000000000014</v>
      </c>
      <c r="F214" s="19">
        <f>C214-'Derived 5Y Spreads'!G60</f>
        <v>7.170000000000002</v>
      </c>
      <c r="G214" s="20">
        <f>'Derived 5Y Spreads'!E214</f>
      </c>
      <c r="H214" s="21" t="str">
        <f>'Derived 5Y Spreads'!O214</f>
        <v>stale</v>
      </c>
      <c r="I214" s="22" t="str">
        <f>'Derived 5Y Spreads'!A214</f>
        <v>screenshot-reference-20260824-v1</v>
      </c>
      <c r="J214" s="22" t="str">
        <f>'Derived 5Y Spreads'!D214</f>
        <v>SCREENSHOT.AMZN.5Y</v>
      </c>
      <c r="K214" s="5"/>
    </row>
    <row r="215" spans="1:11" x14ac:dyDescent="0.25">
      <c r="A215" s="7">
        <v>46226</v>
      </c>
      <c r="B215" s="6" t="s">
        <v>23</v>
      </c>
      <c r="C215" s="23">
        <f>'Derived 5Y Spreads'!G215</f>
        <v>62.33</v>
      </c>
      <c r="D215" s="24">
        <f>C215-'Derived 5Y Spreads'!G208</f>
        <v>1.6599999999999966</v>
      </c>
      <c r="E215" s="24">
        <f>C215-'Derived 5Y Spreads'!G180</f>
        <v>4.579999999999998</v>
      </c>
      <c r="F215" s="24">
        <f>C215-'Derived 5Y Spreads'!G61</f>
        <v>10.759999999999998</v>
      </c>
      <c r="G215" s="25">
        <f>'Derived 5Y Spreads'!E215</f>
      </c>
      <c r="H215" s="21" t="str">
        <f>'Derived 5Y Spreads'!O215</f>
        <v>stale</v>
      </c>
      <c r="I215" s="26" t="str">
        <f>'Derived 5Y Spreads'!A215</f>
        <v>screenshot-reference-20260824-v1</v>
      </c>
      <c r="J215" s="26" t="str">
        <f>'Derived 5Y Spreads'!D215</f>
        <v>SCREENSHOT.ALPHINC.5Y</v>
      </c>
      <c r="K215" s="9"/>
    </row>
    <row r="216" spans="1:11" x14ac:dyDescent="0.25">
      <c r="A216" s="3">
        <v>46226</v>
      </c>
      <c r="B216" s="2" t="s">
        <v>26</v>
      </c>
      <c r="C216" s="18">
        <f>'Derived 5Y Spreads'!G216</f>
        <v>48.8</v>
      </c>
      <c r="D216" s="19">
        <f>C216-'Derived 5Y Spreads'!G209</f>
        <v>0.7999999999999972</v>
      </c>
      <c r="E216" s="19">
        <f>C216-'Derived 5Y Spreads'!G181</f>
        <v>1.5499999999999972</v>
      </c>
      <c r="F216" s="19">
        <f>C216-'Derived 5Y Spreads'!G62</f>
        <v>9.089999999999996</v>
      </c>
      <c r="G216" s="20">
        <f>'Derived 5Y Spreads'!E216</f>
      </c>
      <c r="H216" s="21" t="str">
        <f>'Derived 5Y Spreads'!O216</f>
        <v>stale</v>
      </c>
      <c r="I216" s="22" t="str">
        <f>'Derived 5Y Spreads'!A216</f>
        <v>screenshot-reference-20260824-v1</v>
      </c>
      <c r="J216" s="22" t="str">
        <f>'Derived 5Y Spreads'!D216</f>
        <v>SCREENSHOT.MSFT.5Y</v>
      </c>
      <c r="K216" s="5"/>
    </row>
    <row r="217" spans="1:11" x14ac:dyDescent="0.25">
      <c r="A217" s="7">
        <v>46226</v>
      </c>
      <c r="B217" s="6" t="s">
        <v>29</v>
      </c>
      <c r="C217" s="23">
        <f>'Derived 5Y Spreads'!G217</f>
        <v>81.8</v>
      </c>
      <c r="D217" s="24">
        <f>C217-'Derived 5Y Spreads'!G210</f>
        <v>2.799999999999997</v>
      </c>
      <c r="E217" s="24">
        <f>C217-'Derived 5Y Spreads'!G182</f>
        <v>5.049999999999997</v>
      </c>
      <c r="F217" s="24">
        <f>C217-'Derived 5Y Spreads'!G63</f>
        <v>11.090000000000003</v>
      </c>
      <c r="G217" s="25">
        <f>'Derived 5Y Spreads'!E217</f>
      </c>
      <c r="H217" s="21" t="str">
        <f>'Derived 5Y Spreads'!O217</f>
        <v>stale</v>
      </c>
      <c r="I217" s="26" t="str">
        <f>'Derived 5Y Spreads'!A217</f>
        <v>screenshot-reference-20260824-v1</v>
      </c>
      <c r="J217" s="26" t="str">
        <f>'Derived 5Y Spreads'!D217</f>
        <v>SCREENSHOT.METAPL.5Y</v>
      </c>
      <c r="K217" s="9"/>
    </row>
    <row r="218" spans="1:11" x14ac:dyDescent="0.25">
      <c r="A218" s="3">
        <v>46227</v>
      </c>
      <c r="B218" s="2" t="s">
        <v>9</v>
      </c>
      <c r="C218" s="18">
        <f>'Derived 5Y Spreads'!G218</f>
        <v>205</v>
      </c>
      <c r="D218" s="19">
        <f>C218-'Derived 5Y Spreads'!G211</f>
        <v>4.25</v>
      </c>
      <c r="E218" s="19">
        <f>C218-'Derived 5Y Spreads'!G183</f>
        <v>17.430000000000007</v>
      </c>
      <c r="F218" s="19">
        <f>C218-'Derived 5Y Spreads'!G64</f>
        <v>41.860000000000014</v>
      </c>
      <c r="G218" s="20">
        <f>'Derived 5Y Spreads'!E218</f>
      </c>
      <c r="H218" s="21" t="str">
        <f>'Derived 5Y Spreads'!O218</f>
        <v>stale</v>
      </c>
      <c r="I218" s="22" t="str">
        <f>'Derived 5Y Spreads'!A218</f>
        <v>screenshot-reference-20260824-v1</v>
      </c>
      <c r="J218" s="22" t="str">
        <f>'Derived 5Y Spreads'!D218</f>
        <v>SCREENSHOT.ORCLE.5Y</v>
      </c>
      <c r="K218" s="5"/>
    </row>
    <row r="219" spans="1:11" x14ac:dyDescent="0.25">
      <c r="A219" s="7">
        <v>46227</v>
      </c>
      <c r="B219" s="6" t="s">
        <v>14</v>
      </c>
      <c r="C219" s="23">
        <f>'Derived 5Y Spreads'!G219</f>
        <v>720</v>
      </c>
      <c r="D219" s="24">
        <f>C219-'Derived 5Y Spreads'!G212</f>
        <v>10</v>
      </c>
      <c r="E219" s="24">
        <f>C219-'Derived 5Y Spreads'!G184</f>
        <v>40</v>
      </c>
      <c r="F219" s="24">
        <f>C219-'Derived 5Y Spreads'!G65</f>
        <v>165</v>
      </c>
      <c r="G219" s="25">
        <f>'Derived 5Y Spreads'!E219</f>
      </c>
      <c r="H219" s="21" t="str">
        <f>'Derived 5Y Spreads'!O219</f>
        <v>stale</v>
      </c>
      <c r="I219" s="26" t="str">
        <f>'Derived 5Y Spreads'!A219</f>
        <v>screenshot-reference-20260824-v1</v>
      </c>
      <c r="J219" s="26" t="str">
        <f>'Derived 5Y Spreads'!D219</f>
        <v>SCREENSHOT.COREWEI.5Y</v>
      </c>
      <c r="K219" s="9"/>
    </row>
    <row r="220" spans="1:11" x14ac:dyDescent="0.25">
      <c r="A220" s="3">
        <v>46227</v>
      </c>
      <c r="B220" s="2" t="s">
        <v>17</v>
      </c>
      <c r="C220" s="18">
        <f>'Derived 5Y Spreads'!G220</f>
        <v>70</v>
      </c>
      <c r="D220" s="19">
        <f>C220-'Derived 5Y Spreads'!G213</f>
        <v>2.75</v>
      </c>
      <c r="E220" s="19">
        <f>C220-'Derived 5Y Spreads'!G185</f>
        <v>12</v>
      </c>
      <c r="F220" s="19">
        <f>C220-'Derived 5Y Spreads'!G66</f>
        <v>28.29</v>
      </c>
      <c r="G220" s="20">
        <f>'Derived 5Y Spreads'!E220</f>
      </c>
      <c r="H220" s="21" t="str">
        <f>'Derived 5Y Spreads'!O220</f>
        <v>stale</v>
      </c>
      <c r="I220" s="22" t="str">
        <f>'Derived 5Y Spreads'!A220</f>
        <v>screenshot-reference-20260824-v1</v>
      </c>
      <c r="J220" s="22" t="str">
        <f>'Derived 5Y Spreads'!D220</f>
        <v>SCREENSHOT.NVIDIA.5Y</v>
      </c>
      <c r="K220" s="5"/>
    </row>
    <row r="221" spans="1:11" x14ac:dyDescent="0.25">
      <c r="A221" s="7">
        <v>46227</v>
      </c>
      <c r="B221" s="6" t="s">
        <v>20</v>
      </c>
      <c r="C221" s="23">
        <f>'Derived 5Y Spreads'!G221</f>
        <v>62.2</v>
      </c>
      <c r="D221" s="24">
        <f>C221-'Derived 5Y Spreads'!G214</f>
        <v>1.6000000000000014</v>
      </c>
      <c r="E221" s="24">
        <f>C221-'Derived 5Y Spreads'!G186</f>
        <v>5.200000000000003</v>
      </c>
      <c r="F221" s="24">
        <f>C221-'Derived 5Y Spreads'!G67</f>
        <v>8.200000000000003</v>
      </c>
      <c r="G221" s="25">
        <f>'Derived 5Y Spreads'!E221</f>
      </c>
      <c r="H221" s="21" t="str">
        <f>'Derived 5Y Spreads'!O221</f>
        <v>stale</v>
      </c>
      <c r="I221" s="26" t="str">
        <f>'Derived 5Y Spreads'!A221</f>
        <v>screenshot-reference-20260824-v1</v>
      </c>
      <c r="J221" s="26" t="str">
        <f>'Derived 5Y Spreads'!D221</f>
        <v>SCREENSHOT.AMZN.5Y</v>
      </c>
      <c r="K221" s="9"/>
    </row>
    <row r="222" spans="1:11" x14ac:dyDescent="0.25">
      <c r="A222" s="3">
        <v>46227</v>
      </c>
      <c r="B222" s="2" t="s">
        <v>23</v>
      </c>
      <c r="C222" s="18">
        <f>'Derived 5Y Spreads'!G222</f>
        <v>64</v>
      </c>
      <c r="D222" s="19">
        <f>C222-'Derived 5Y Spreads'!G215</f>
        <v>1.6700000000000017</v>
      </c>
      <c r="E222" s="19">
        <f>C222-'Derived 5Y Spreads'!G187</f>
        <v>7</v>
      </c>
      <c r="F222" s="19">
        <f>C222-'Derived 5Y Spreads'!G68</f>
        <v>12</v>
      </c>
      <c r="G222" s="20">
        <f>'Derived 5Y Spreads'!E222</f>
      </c>
      <c r="H222" s="21" t="str">
        <f>'Derived 5Y Spreads'!O222</f>
        <v>stale</v>
      </c>
      <c r="I222" s="22" t="str">
        <f>'Derived 5Y Spreads'!A222</f>
        <v>screenshot-reference-20260824-v1</v>
      </c>
      <c r="J222" s="22" t="str">
        <f>'Derived 5Y Spreads'!D222</f>
        <v>SCREENSHOT.ALPHINC.5Y</v>
      </c>
      <c r="K222" s="5"/>
    </row>
    <row r="223" spans="1:11" x14ac:dyDescent="0.25">
      <c r="A223" s="7">
        <v>46227</v>
      </c>
      <c r="B223" s="6" t="s">
        <v>26</v>
      </c>
      <c r="C223" s="23">
        <f>'Derived 5Y Spreads'!G223</f>
        <v>49.6</v>
      </c>
      <c r="D223" s="24">
        <f>C223-'Derived 5Y Spreads'!G216</f>
        <v>0.8000000000000043</v>
      </c>
      <c r="E223" s="24">
        <f>C223-'Derived 5Y Spreads'!G188</f>
        <v>2.6000000000000014</v>
      </c>
      <c r="F223" s="24">
        <f>C223-'Derived 5Y Spreads'!G69</f>
        <v>9.600000000000001</v>
      </c>
      <c r="G223" s="25">
        <f>'Derived 5Y Spreads'!E223</f>
      </c>
      <c r="H223" s="21" t="str">
        <f>'Derived 5Y Spreads'!O223</f>
        <v>stale</v>
      </c>
      <c r="I223" s="26" t="str">
        <f>'Derived 5Y Spreads'!A223</f>
        <v>screenshot-reference-20260824-v1</v>
      </c>
      <c r="J223" s="26" t="str">
        <f>'Derived 5Y Spreads'!D223</f>
        <v>SCREENSHOT.MSFT.5Y</v>
      </c>
      <c r="K223" s="9"/>
    </row>
    <row r="224" spans="1:11" x14ac:dyDescent="0.25">
      <c r="A224" s="3">
        <v>46227</v>
      </c>
      <c r="B224" s="2" t="s">
        <v>29</v>
      </c>
      <c r="C224" s="18">
        <f>'Derived 5Y Spreads'!G224</f>
        <v>84.6</v>
      </c>
      <c r="D224" s="19">
        <f>C224-'Derived 5Y Spreads'!G217</f>
        <v>2.799999999999997</v>
      </c>
      <c r="E224" s="19">
        <f>C224-'Derived 5Y Spreads'!G189</f>
        <v>8.599999999999994</v>
      </c>
      <c r="F224" s="19">
        <f>C224-'Derived 5Y Spreads'!G70</f>
        <v>13.599999999999994</v>
      </c>
      <c r="G224" s="20">
        <f>'Derived 5Y Spreads'!E224</f>
      </c>
      <c r="H224" s="21" t="str">
        <f>'Derived 5Y Spreads'!O224</f>
        <v>stale</v>
      </c>
      <c r="I224" s="22" t="str">
        <f>'Derived 5Y Spreads'!A224</f>
        <v>screenshot-reference-20260824-v1</v>
      </c>
      <c r="J224" s="22" t="str">
        <f>'Derived 5Y Spreads'!D224</f>
        <v>SCREENSHOT.METAPL.5Y</v>
      </c>
      <c r="K224" s="5"/>
    </row>
    <row r="225" spans="1:11" x14ac:dyDescent="0.25">
      <c r="A225" s="7">
        <v>46230</v>
      </c>
      <c r="B225" s="6" t="s">
        <v>9</v>
      </c>
      <c r="C225" s="23">
        <f>'Derived 5Y Spreads'!G225</f>
        <v>212.2</v>
      </c>
      <c r="D225" s="24">
        <f>C225-'Derived 5Y Spreads'!G218</f>
        <v>7.199999999999989</v>
      </c>
      <c r="E225" s="24">
        <f>C225-'Derived 5Y Spreads'!G190</f>
        <v>24.19999999999999</v>
      </c>
      <c r="F225" s="24">
        <f>C225-'Derived 5Y Spreads'!G78</f>
        <v>45.91</v>
      </c>
      <c r="G225" s="25">
        <f>'Derived 5Y Spreads'!E225</f>
      </c>
      <c r="H225" s="21" t="str">
        <f>'Derived 5Y Spreads'!O225</f>
        <v>stale</v>
      </c>
      <c r="I225" s="26" t="str">
        <f>'Derived 5Y Spreads'!A225</f>
        <v>screenshot-reference-20260824-v1</v>
      </c>
      <c r="J225" s="26" t="str">
        <f>'Derived 5Y Spreads'!D225</f>
        <v>SCREENSHOT.ORCLE.5Y</v>
      </c>
      <c r="K225" s="9"/>
    </row>
    <row r="226" spans="1:11" x14ac:dyDescent="0.25">
      <c r="A226" s="3">
        <v>46230</v>
      </c>
      <c r="B226" s="2" t="s">
        <v>14</v>
      </c>
      <c r="C226" s="18">
        <f>'Derived 5Y Spreads'!G226</f>
        <v>750</v>
      </c>
      <c r="D226" s="19">
        <f>C226-'Derived 5Y Spreads'!G219</f>
        <v>30</v>
      </c>
      <c r="E226" s="19">
        <f>C226-'Derived 5Y Spreads'!G191</f>
        <v>62.5</v>
      </c>
      <c r="F226" s="19">
        <f>C226-'Derived 5Y Spreads'!G79</f>
        <v>197</v>
      </c>
      <c r="G226" s="20">
        <f>'Derived 5Y Spreads'!E226</f>
      </c>
      <c r="H226" s="21" t="str">
        <f>'Derived 5Y Spreads'!O226</f>
        <v>stale</v>
      </c>
      <c r="I226" s="22" t="str">
        <f>'Derived 5Y Spreads'!A226</f>
        <v>screenshot-reference-20260824-v1</v>
      </c>
      <c r="J226" s="22" t="str">
        <f>'Derived 5Y Spreads'!D226</f>
        <v>SCREENSHOT.COREWEI.5Y</v>
      </c>
      <c r="K226" s="5"/>
    </row>
    <row r="227" spans="1:11" x14ac:dyDescent="0.25">
      <c r="A227" s="7">
        <v>46230</v>
      </c>
      <c r="B227" s="6" t="s">
        <v>17</v>
      </c>
      <c r="C227" s="23">
        <f>'Derived 5Y Spreads'!G227</f>
        <v>80</v>
      </c>
      <c r="D227" s="24">
        <f>C227-'Derived 5Y Spreads'!G220</f>
        <v>10</v>
      </c>
      <c r="E227" s="24">
        <f>C227-'Derived 5Y Spreads'!G192</f>
        <v>21</v>
      </c>
      <c r="F227" s="24">
        <f>C227-'Derived 5Y Spreads'!G80</f>
        <v>36.57</v>
      </c>
      <c r="G227" s="25">
        <f>'Derived 5Y Spreads'!E227</f>
      </c>
      <c r="H227" s="21" t="str">
        <f>'Derived 5Y Spreads'!O227</f>
        <v>stale</v>
      </c>
      <c r="I227" s="26" t="str">
        <f>'Derived 5Y Spreads'!A227</f>
        <v>screenshot-reference-20260824-v1</v>
      </c>
      <c r="J227" s="26" t="str">
        <f>'Derived 5Y Spreads'!D227</f>
        <v>SCREENSHOT.NVIDIA.5Y</v>
      </c>
      <c r="K227" s="9"/>
    </row>
    <row r="228" spans="1:11" x14ac:dyDescent="0.25">
      <c r="A228" s="3">
        <v>46230</v>
      </c>
      <c r="B228" s="2" t="s">
        <v>20</v>
      </c>
      <c r="C228" s="18">
        <f>'Derived 5Y Spreads'!G228</f>
        <v>67</v>
      </c>
      <c r="D228" s="19">
        <f>C228-'Derived 5Y Spreads'!G221</f>
        <v>4.799999999999997</v>
      </c>
      <c r="E228" s="19">
        <f>C228-'Derived 5Y Spreads'!G193</f>
        <v>8.799999999999997</v>
      </c>
      <c r="F228" s="19">
        <f>C228-'Derived 5Y Spreads'!G81</f>
        <v>12.75</v>
      </c>
      <c r="G228" s="20">
        <f>'Derived 5Y Spreads'!E228</f>
      </c>
      <c r="H228" s="21" t="str">
        <f>'Derived 5Y Spreads'!O228</f>
        <v>stale</v>
      </c>
      <c r="I228" s="22" t="str">
        <f>'Derived 5Y Spreads'!A228</f>
        <v>screenshot-reference-20260824-v1</v>
      </c>
      <c r="J228" s="22" t="str">
        <f>'Derived 5Y Spreads'!D228</f>
        <v>SCREENSHOT.AMZN.5Y</v>
      </c>
      <c r="K228" s="5"/>
    </row>
    <row r="229" spans="1:11" x14ac:dyDescent="0.25">
      <c r="A229" s="7">
        <v>46230</v>
      </c>
      <c r="B229" s="6" t="s">
        <v>23</v>
      </c>
      <c r="C229" s="23">
        <f>'Derived 5Y Spreads'!G229</f>
        <v>65.8</v>
      </c>
      <c r="D229" s="24">
        <f>C229-'Derived 5Y Spreads'!G222</f>
        <v>1.7999999999999972</v>
      </c>
      <c r="E229" s="24">
        <f>C229-'Derived 5Y Spreads'!G194</f>
        <v>7.299999999999997</v>
      </c>
      <c r="F229" s="24">
        <f>C229-'Derived 5Y Spreads'!G82</f>
        <v>13.229999999999997</v>
      </c>
      <c r="G229" s="25">
        <f>'Derived 5Y Spreads'!E229</f>
      </c>
      <c r="H229" s="21" t="str">
        <f>'Derived 5Y Spreads'!O229</f>
        <v>stale</v>
      </c>
      <c r="I229" s="26" t="str">
        <f>'Derived 5Y Spreads'!A229</f>
        <v>screenshot-reference-20260824-v1</v>
      </c>
      <c r="J229" s="26" t="str">
        <f>'Derived 5Y Spreads'!D229</f>
        <v>SCREENSHOT.ALPHINC.5Y</v>
      </c>
      <c r="K229" s="9"/>
    </row>
    <row r="230" spans="1:11" x14ac:dyDescent="0.25">
      <c r="A230" s="3">
        <v>46230</v>
      </c>
      <c r="B230" s="2" t="s">
        <v>26</v>
      </c>
      <c r="C230" s="18">
        <f>'Derived 5Y Spreads'!G230</f>
        <v>52</v>
      </c>
      <c r="D230" s="19">
        <f>C230-'Derived 5Y Spreads'!G223</f>
        <v>2.3999999999999986</v>
      </c>
      <c r="E230" s="19">
        <f>C230-'Derived 5Y Spreads'!G195</f>
        <v>4.399999999999999</v>
      </c>
      <c r="F230" s="19">
        <f>C230-'Derived 5Y Spreads'!G83</f>
        <v>11.200000000000003</v>
      </c>
      <c r="G230" s="20">
        <f>'Derived 5Y Spreads'!E230</f>
      </c>
      <c r="H230" s="21" t="str">
        <f>'Derived 5Y Spreads'!O230</f>
        <v>stale</v>
      </c>
      <c r="I230" s="22" t="str">
        <f>'Derived 5Y Spreads'!A230</f>
        <v>screenshot-reference-20260824-v1</v>
      </c>
      <c r="J230" s="22" t="str">
        <f>'Derived 5Y Spreads'!D230</f>
        <v>SCREENSHOT.MSFT.5Y</v>
      </c>
      <c r="K230" s="5"/>
    </row>
    <row r="231" spans="1:11" x14ac:dyDescent="0.25">
      <c r="A231" s="7">
        <v>46230</v>
      </c>
      <c r="B231" s="6" t="s">
        <v>29</v>
      </c>
      <c r="C231" s="23">
        <f>'Derived 5Y Spreads'!G231</f>
        <v>93</v>
      </c>
      <c r="D231" s="24">
        <f>C231-'Derived 5Y Spreads'!G224</f>
        <v>8.400000000000006</v>
      </c>
      <c r="E231" s="24">
        <f>C231-'Derived 5Y Spreads'!G196</f>
        <v>15.200000000000003</v>
      </c>
      <c r="F231" s="24">
        <f>C231-'Derived 5Y Spreads'!G84</f>
        <v>22.75</v>
      </c>
      <c r="G231" s="25">
        <f>'Derived 5Y Spreads'!E231</f>
      </c>
      <c r="H231" s="21" t="str">
        <f>'Derived 5Y Spreads'!O231</f>
        <v>stale</v>
      </c>
      <c r="I231" s="26" t="str">
        <f>'Derived 5Y Spreads'!A231</f>
        <v>screenshot-reference-20260824-v1</v>
      </c>
      <c r="J231" s="26" t="str">
        <f>'Derived 5Y Spreads'!D231</f>
        <v>SCREENSHOT.METAPL.5Y</v>
      </c>
      <c r="K231" s="9"/>
    </row>
    <row r="232" spans="1:11" x14ac:dyDescent="0.25">
      <c r="A232" s="3">
        <v>46231</v>
      </c>
      <c r="B232" s="2" t="s">
        <v>9</v>
      </c>
      <c r="C232" s="18">
        <f>'Derived 5Y Spreads'!G232</f>
        <v>214.6</v>
      </c>
      <c r="D232" s="19">
        <f>C232-'Derived 5Y Spreads'!G225</f>
        <v>2.4000000000000057</v>
      </c>
      <c r="E232" s="19">
        <f>C232-'Derived 5Y Spreads'!G197</f>
        <v>22.349999999999994</v>
      </c>
      <c r="F232" s="19">
        <f>C232-'Derived 5Y Spreads'!G78</f>
        <v>48.31</v>
      </c>
      <c r="G232" s="20">
        <f>'Derived 5Y Spreads'!E232</f>
      </c>
      <c r="H232" s="21" t="str">
        <f>'Derived 5Y Spreads'!O232</f>
        <v>stale</v>
      </c>
      <c r="I232" s="22" t="str">
        <f>'Derived 5Y Spreads'!A232</f>
        <v>screenshot-reference-20260824-v1</v>
      </c>
      <c r="J232" s="22" t="str">
        <f>'Derived 5Y Spreads'!D232</f>
        <v>SCREENSHOT.ORCLE.5Y</v>
      </c>
      <c r="K232" s="5"/>
    </row>
    <row r="233" spans="1:11" x14ac:dyDescent="0.25">
      <c r="A233" s="7">
        <v>46231</v>
      </c>
      <c r="B233" s="6" t="s">
        <v>14</v>
      </c>
      <c r="C233" s="23">
        <f>'Derived 5Y Spreads'!G233</f>
        <v>816.67</v>
      </c>
      <c r="D233" s="24">
        <f>C233-'Derived 5Y Spreads'!G226</f>
        <v>66.66999999999996</v>
      </c>
      <c r="E233" s="24">
        <f>C233-'Derived 5Y Spreads'!G198</f>
        <v>126.66999999999996</v>
      </c>
      <c r="F233" s="24">
        <f>C233-'Derived 5Y Spreads'!G79</f>
        <v>263.66999999999996</v>
      </c>
      <c r="G233" s="25">
        <f>'Derived 5Y Spreads'!E233</f>
      </c>
      <c r="H233" s="21" t="str">
        <f>'Derived 5Y Spreads'!O233</f>
        <v>stale</v>
      </c>
      <c r="I233" s="26" t="str">
        <f>'Derived 5Y Spreads'!A233</f>
        <v>screenshot-reference-20260824-v1</v>
      </c>
      <c r="J233" s="26" t="str">
        <f>'Derived 5Y Spreads'!D233</f>
        <v>SCREENSHOT.COREWEI.5Y</v>
      </c>
      <c r="K233" s="9"/>
    </row>
    <row r="234" spans="1:11" x14ac:dyDescent="0.25">
      <c r="A234" s="3">
        <v>46231</v>
      </c>
      <c r="B234" s="2" t="s">
        <v>17</v>
      </c>
      <c r="C234" s="18">
        <f>'Derived 5Y Spreads'!G234</f>
        <v>80.67</v>
      </c>
      <c r="D234" s="19">
        <f>C234-'Derived 5Y Spreads'!G227</f>
        <v>0.6700000000000017</v>
      </c>
      <c r="E234" s="19">
        <f>C234-'Derived 5Y Spreads'!G199</f>
        <v>18.92</v>
      </c>
      <c r="F234" s="19">
        <f>C234-'Derived 5Y Spreads'!G80</f>
        <v>37.24</v>
      </c>
      <c r="G234" s="20">
        <f>'Derived 5Y Spreads'!E234</f>
      </c>
      <c r="H234" s="21" t="str">
        <f>'Derived 5Y Spreads'!O234</f>
        <v>stale</v>
      </c>
      <c r="I234" s="22" t="str">
        <f>'Derived 5Y Spreads'!A234</f>
        <v>screenshot-reference-20260824-v1</v>
      </c>
      <c r="J234" s="22" t="str">
        <f>'Derived 5Y Spreads'!D234</f>
        <v>SCREENSHOT.NVIDIA.5Y</v>
      </c>
      <c r="K234" s="5"/>
    </row>
    <row r="235" spans="1:11" x14ac:dyDescent="0.25">
      <c r="A235" s="7">
        <v>46231</v>
      </c>
      <c r="B235" s="6" t="s">
        <v>20</v>
      </c>
      <c r="C235" s="23">
        <f>'Derived 5Y Spreads'!G235</f>
        <v>67.67</v>
      </c>
      <c r="D235" s="24">
        <f>C235-'Derived 5Y Spreads'!G228</f>
        <v>0.6700000000000017</v>
      </c>
      <c r="E235" s="24">
        <f>C235-'Derived 5Y Spreads'!G200</f>
        <v>9.07</v>
      </c>
      <c r="F235" s="24">
        <f>C235-'Derived 5Y Spreads'!G81</f>
        <v>13.420000000000002</v>
      </c>
      <c r="G235" s="25">
        <f>'Derived 5Y Spreads'!E235</f>
      </c>
      <c r="H235" s="21" t="str">
        <f>'Derived 5Y Spreads'!O235</f>
        <v>stale</v>
      </c>
      <c r="I235" s="26" t="str">
        <f>'Derived 5Y Spreads'!A235</f>
        <v>screenshot-reference-20260824-v1</v>
      </c>
      <c r="J235" s="26" t="str">
        <f>'Derived 5Y Spreads'!D235</f>
        <v>SCREENSHOT.AMZN.5Y</v>
      </c>
      <c r="K235" s="9"/>
    </row>
    <row r="236" spans="1:11" x14ac:dyDescent="0.25">
      <c r="A236" s="3">
        <v>46231</v>
      </c>
      <c r="B236" s="2" t="s">
        <v>23</v>
      </c>
      <c r="C236" s="18">
        <f>'Derived 5Y Spreads'!G236</f>
        <v>66.4</v>
      </c>
      <c r="D236" s="19">
        <f>C236-'Derived 5Y Spreads'!G229</f>
        <v>0.6000000000000085</v>
      </c>
      <c r="E236" s="19">
        <f>C236-'Derived 5Y Spreads'!G201</f>
        <v>7.400000000000006</v>
      </c>
      <c r="F236" s="19">
        <f>C236-'Derived 5Y Spreads'!G82</f>
        <v>13.830000000000005</v>
      </c>
      <c r="G236" s="20">
        <f>'Derived 5Y Spreads'!E236</f>
      </c>
      <c r="H236" s="21" t="str">
        <f>'Derived 5Y Spreads'!O236</f>
        <v>stale</v>
      </c>
      <c r="I236" s="22" t="str">
        <f>'Derived 5Y Spreads'!A236</f>
        <v>screenshot-reference-20260824-v1</v>
      </c>
      <c r="J236" s="22" t="str">
        <f>'Derived 5Y Spreads'!D236</f>
        <v>SCREENSHOT.ALPHINC.5Y</v>
      </c>
      <c r="K236" s="5"/>
    </row>
    <row r="237" spans="1:11" x14ac:dyDescent="0.25">
      <c r="A237" s="7">
        <v>46231</v>
      </c>
      <c r="B237" s="6" t="s">
        <v>26</v>
      </c>
      <c r="C237" s="23">
        <f>'Derived 5Y Spreads'!G237</f>
        <v>53</v>
      </c>
      <c r="D237" s="24">
        <f>C237-'Derived 5Y Spreads'!G230</f>
        <v>1</v>
      </c>
      <c r="E237" s="24">
        <f>C237-'Derived 5Y Spreads'!G202</f>
        <v>5.200000000000003</v>
      </c>
      <c r="F237" s="24">
        <f>C237-'Derived 5Y Spreads'!G83</f>
        <v>12.200000000000003</v>
      </c>
      <c r="G237" s="25">
        <f>'Derived 5Y Spreads'!E237</f>
      </c>
      <c r="H237" s="21" t="str">
        <f>'Derived 5Y Spreads'!O237</f>
        <v>stale</v>
      </c>
      <c r="I237" s="26" t="str">
        <f>'Derived 5Y Spreads'!A237</f>
        <v>screenshot-reference-20260824-v1</v>
      </c>
      <c r="J237" s="26" t="str">
        <f>'Derived 5Y Spreads'!D237</f>
        <v>SCREENSHOT.MSFT.5Y</v>
      </c>
      <c r="K237" s="9"/>
    </row>
    <row r="238" spans="1:11" x14ac:dyDescent="0.25">
      <c r="A238" s="3">
        <v>46231</v>
      </c>
      <c r="B238" s="2" t="s">
        <v>29</v>
      </c>
      <c r="C238" s="18">
        <f>'Derived 5Y Spreads'!G238</f>
        <v>94.67</v>
      </c>
      <c r="D238" s="19">
        <f>C238-'Derived 5Y Spreads'!G231</f>
        <v>1.6700000000000017</v>
      </c>
      <c r="E238" s="19">
        <f>C238-'Derived 5Y Spreads'!G203</f>
        <v>16.269999999999996</v>
      </c>
      <c r="F238" s="19">
        <f>C238-'Derived 5Y Spreads'!G84</f>
        <v>24.42</v>
      </c>
      <c r="G238" s="20">
        <f>'Derived 5Y Spreads'!E238</f>
      </c>
      <c r="H238" s="21" t="str">
        <f>'Derived 5Y Spreads'!O238</f>
        <v>stale</v>
      </c>
      <c r="I238" s="22" t="str">
        <f>'Derived 5Y Spreads'!A238</f>
        <v>screenshot-reference-20260824-v1</v>
      </c>
      <c r="J238" s="22" t="str">
        <f>'Derived 5Y Spreads'!D238</f>
        <v>SCREENSHOT.METAPL.5Y</v>
      </c>
      <c r="K238" s="5"/>
    </row>
    <row r="239" spans="1:11" x14ac:dyDescent="0.25">
      <c r="A239" s="7">
        <v>46232</v>
      </c>
      <c r="B239" s="6" t="s">
        <v>9</v>
      </c>
      <c r="C239" s="23">
        <f>'Derived 5Y Spreads'!G239</f>
        <v>217</v>
      </c>
      <c r="D239" s="24">
        <f>C239-'Derived 5Y Spreads'!G232</f>
        <v>2.4000000000000057</v>
      </c>
      <c r="E239" s="24">
        <f>C239-'Derived 5Y Spreads'!G204</f>
        <v>20.5</v>
      </c>
      <c r="F239" s="24">
        <f>C239-'Derived 5Y Spreads'!G85</f>
        <v>46</v>
      </c>
      <c r="G239" s="25">
        <f>'Derived 5Y Spreads'!E239</f>
      </c>
      <c r="H239" s="21" t="str">
        <f>'Derived 5Y Spreads'!O239</f>
        <v>stale</v>
      </c>
      <c r="I239" s="26" t="str">
        <f>'Derived 5Y Spreads'!A239</f>
        <v>screenshot-reference-20260824-v1</v>
      </c>
      <c r="J239" s="26" t="str">
        <f>'Derived 5Y Spreads'!D239</f>
        <v>SCREENSHOT.ORCLE.5Y</v>
      </c>
      <c r="K239" s="9"/>
    </row>
    <row r="240" spans="1:11" x14ac:dyDescent="0.25">
      <c r="A240" s="3">
        <v>46232</v>
      </c>
      <c r="B240" s="2" t="s">
        <v>14</v>
      </c>
      <c r="C240" s="18">
        <f>'Derived 5Y Spreads'!G240</f>
        <v>883.33</v>
      </c>
      <c r="D240" s="19">
        <f>C240-'Derived 5Y Spreads'!G233</f>
        <v>66.66000000000008</v>
      </c>
      <c r="E240" s="19">
        <f>C240-'Derived 5Y Spreads'!G205</f>
        <v>183.33000000000004</v>
      </c>
      <c r="F240" s="19">
        <f>C240-'Derived 5Y Spreads'!G86</f>
        <v>333.33000000000004</v>
      </c>
      <c r="G240" s="20">
        <f>'Derived 5Y Spreads'!E240</f>
      </c>
      <c r="H240" s="21" t="str">
        <f>'Derived 5Y Spreads'!O240</f>
        <v>stale</v>
      </c>
      <c r="I240" s="22" t="str">
        <f>'Derived 5Y Spreads'!A240</f>
        <v>screenshot-reference-20260824-v1</v>
      </c>
      <c r="J240" s="22" t="str">
        <f>'Derived 5Y Spreads'!D240</f>
        <v>SCREENSHOT.COREWEI.5Y</v>
      </c>
      <c r="K240" s="5"/>
    </row>
    <row r="241" spans="1:11" x14ac:dyDescent="0.25">
      <c r="A241" s="7">
        <v>46232</v>
      </c>
      <c r="B241" s="6" t="s">
        <v>17</v>
      </c>
      <c r="C241" s="23">
        <f>'Derived 5Y Spreads'!G241</f>
        <v>81.33</v>
      </c>
      <c r="D241" s="24">
        <f>C241-'Derived 5Y Spreads'!G234</f>
        <v>0.6599999999999966</v>
      </c>
      <c r="E241" s="24">
        <f>C241-'Derived 5Y Spreads'!G206</f>
        <v>16.83</v>
      </c>
      <c r="F241" s="24">
        <f>C241-'Derived 5Y Spreads'!G87</f>
        <v>35.33</v>
      </c>
      <c r="G241" s="25">
        <f>'Derived 5Y Spreads'!E241</f>
      </c>
      <c r="H241" s="21" t="str">
        <f>'Derived 5Y Spreads'!O241</f>
        <v>stale</v>
      </c>
      <c r="I241" s="26" t="str">
        <f>'Derived 5Y Spreads'!A241</f>
        <v>screenshot-reference-20260824-v1</v>
      </c>
      <c r="J241" s="26" t="str">
        <f>'Derived 5Y Spreads'!D241</f>
        <v>SCREENSHOT.NVIDIA.5Y</v>
      </c>
      <c r="K241" s="9"/>
    </row>
    <row r="242" spans="1:11" x14ac:dyDescent="0.25">
      <c r="A242" s="3">
        <v>46232</v>
      </c>
      <c r="B242" s="2" t="s">
        <v>20</v>
      </c>
      <c r="C242" s="18">
        <f>'Derived 5Y Spreads'!G242</f>
        <v>68.33</v>
      </c>
      <c r="D242" s="19">
        <f>C242-'Derived 5Y Spreads'!G235</f>
        <v>0.6599999999999966</v>
      </c>
      <c r="E242" s="19">
        <f>C242-'Derived 5Y Spreads'!G207</f>
        <v>9.329999999999998</v>
      </c>
      <c r="F242" s="19">
        <f>C242-'Derived 5Y Spreads'!G88</f>
        <v>13.699999999999996</v>
      </c>
      <c r="G242" s="20">
        <f>'Derived 5Y Spreads'!E242</f>
      </c>
      <c r="H242" s="21" t="str">
        <f>'Derived 5Y Spreads'!O242</f>
        <v>stale</v>
      </c>
      <c r="I242" s="22" t="str">
        <f>'Derived 5Y Spreads'!A242</f>
        <v>screenshot-reference-20260824-v1</v>
      </c>
      <c r="J242" s="22" t="str">
        <f>'Derived 5Y Spreads'!D242</f>
        <v>SCREENSHOT.AMZN.5Y</v>
      </c>
      <c r="K242" s="5"/>
    </row>
    <row r="243" spans="1:11" x14ac:dyDescent="0.25">
      <c r="A243" s="7">
        <v>46232</v>
      </c>
      <c r="B243" s="6" t="s">
        <v>23</v>
      </c>
      <c r="C243" s="23">
        <f>'Derived 5Y Spreads'!G243</f>
        <v>67</v>
      </c>
      <c r="D243" s="24">
        <f>C243-'Derived 5Y Spreads'!G236</f>
        <v>0.5999999999999943</v>
      </c>
      <c r="E243" s="24">
        <f>C243-'Derived 5Y Spreads'!G208</f>
        <v>6.329999999999998</v>
      </c>
      <c r="F243" s="24">
        <f>C243-'Derived 5Y Spreads'!G89</f>
        <v>13.57</v>
      </c>
      <c r="G243" s="25">
        <f>'Derived 5Y Spreads'!E243</f>
      </c>
      <c r="H243" s="21" t="str">
        <f>'Derived 5Y Spreads'!O243</f>
        <v>stale</v>
      </c>
      <c r="I243" s="26" t="str">
        <f>'Derived 5Y Spreads'!A243</f>
        <v>screenshot-reference-20260824-v1</v>
      </c>
      <c r="J243" s="26" t="str">
        <f>'Derived 5Y Spreads'!D243</f>
        <v>SCREENSHOT.ALPHINC.5Y</v>
      </c>
      <c r="K243" s="9"/>
    </row>
    <row r="244" spans="1:11" x14ac:dyDescent="0.25">
      <c r="A244" s="3">
        <v>46232</v>
      </c>
      <c r="B244" s="2" t="s">
        <v>26</v>
      </c>
      <c r="C244" s="18">
        <f>'Derived 5Y Spreads'!G244</f>
        <v>54</v>
      </c>
      <c r="D244" s="19">
        <f>C244-'Derived 5Y Spreads'!G237</f>
        <v>1</v>
      </c>
      <c r="E244" s="19">
        <f>C244-'Derived 5Y Spreads'!G209</f>
        <v>6</v>
      </c>
      <c r="F244" s="19">
        <f>C244-'Derived 5Y Spreads'!G90</f>
        <v>12</v>
      </c>
      <c r="G244" s="20">
        <f>'Derived 5Y Spreads'!E244</f>
      </c>
      <c r="H244" s="21" t="str">
        <f>'Derived 5Y Spreads'!O244</f>
        <v>stale</v>
      </c>
      <c r="I244" s="22" t="str">
        <f>'Derived 5Y Spreads'!A244</f>
        <v>screenshot-reference-20260824-v1</v>
      </c>
      <c r="J244" s="22" t="str">
        <f>'Derived 5Y Spreads'!D244</f>
        <v>SCREENSHOT.MSFT.5Y</v>
      </c>
      <c r="K244" s="5"/>
    </row>
    <row r="245" spans="1:11" x14ac:dyDescent="0.25">
      <c r="A245" s="7">
        <v>46232</v>
      </c>
      <c r="B245" s="6" t="s">
        <v>29</v>
      </c>
      <c r="C245" s="23">
        <f>'Derived 5Y Spreads'!G245</f>
        <v>96.33</v>
      </c>
      <c r="D245" s="24">
        <f>C245-'Derived 5Y Spreads'!G238</f>
        <v>1.6599999999999966</v>
      </c>
      <c r="E245" s="24">
        <f>C245-'Derived 5Y Spreads'!G210</f>
        <v>17.33</v>
      </c>
      <c r="F245" s="24">
        <f>C245-'Derived 5Y Spreads'!G91</f>
        <v>27.200000000000003</v>
      </c>
      <c r="G245" s="25">
        <f>'Derived 5Y Spreads'!E245</f>
      </c>
      <c r="H245" s="21" t="str">
        <f>'Derived 5Y Spreads'!O245</f>
        <v>stale</v>
      </c>
      <c r="I245" s="26" t="str">
        <f>'Derived 5Y Spreads'!A245</f>
        <v>screenshot-reference-20260824-v1</v>
      </c>
      <c r="J245" s="26" t="str">
        <f>'Derived 5Y Spreads'!D245</f>
        <v>SCREENSHOT.METAPL.5Y</v>
      </c>
      <c r="K245" s="9"/>
    </row>
    <row r="246" spans="1:11" x14ac:dyDescent="0.25">
      <c r="A246" s="3">
        <v>46233</v>
      </c>
      <c r="B246" s="2" t="s">
        <v>9</v>
      </c>
      <c r="C246" s="18">
        <f>'Derived 5Y Spreads'!G246</f>
        <v>213.8</v>
      </c>
      <c r="D246" s="19">
        <f>C246-'Derived 5Y Spreads'!G239</f>
        <v>-3.1999999999999886</v>
      </c>
      <c r="E246" s="19">
        <f>C246-'Derived 5Y Spreads'!G211</f>
        <v>13.050000000000011</v>
      </c>
      <c r="F246" s="19">
        <f>C246-'Derived 5Y Spreads'!G92</f>
        <v>43.09</v>
      </c>
      <c r="G246" s="20">
        <f>'Derived 5Y Spreads'!E246</f>
      </c>
      <c r="H246" s="21" t="str">
        <f>'Derived 5Y Spreads'!O246</f>
        <v>stale</v>
      </c>
      <c r="I246" s="22" t="str">
        <f>'Derived 5Y Spreads'!A246</f>
        <v>screenshot-reference-20260824-v1</v>
      </c>
      <c r="J246" s="22" t="str">
        <f>'Derived 5Y Spreads'!D246</f>
        <v>SCREENSHOT.ORCLE.5Y</v>
      </c>
      <c r="K246" s="5"/>
    </row>
    <row r="247" spans="1:11" x14ac:dyDescent="0.25">
      <c r="A247" s="7">
        <v>46233</v>
      </c>
      <c r="B247" s="6" t="s">
        <v>14</v>
      </c>
      <c r="C247" s="23">
        <f>'Derived 5Y Spreads'!G247</f>
        <v>950</v>
      </c>
      <c r="D247" s="24">
        <f>C247-'Derived 5Y Spreads'!G240</f>
        <v>66.66999999999996</v>
      </c>
      <c r="E247" s="24">
        <f>C247-'Derived 5Y Spreads'!G212</f>
        <v>240</v>
      </c>
      <c r="F247" s="24">
        <f>C247-'Derived 5Y Spreads'!G93</f>
        <v>388.33000000000004</v>
      </c>
      <c r="G247" s="25">
        <f>'Derived 5Y Spreads'!E247</f>
      </c>
      <c r="H247" s="21" t="str">
        <f>'Derived 5Y Spreads'!O247</f>
        <v>stale</v>
      </c>
      <c r="I247" s="26" t="str">
        <f>'Derived 5Y Spreads'!A247</f>
        <v>screenshot-reference-20260824-v1</v>
      </c>
      <c r="J247" s="26" t="str">
        <f>'Derived 5Y Spreads'!D247</f>
        <v>SCREENSHOT.COREWEI.5Y</v>
      </c>
      <c r="K247" s="9"/>
    </row>
    <row r="248" spans="1:11" x14ac:dyDescent="0.25">
      <c r="A248" s="3">
        <v>46233</v>
      </c>
      <c r="B248" s="2" t="s">
        <v>17</v>
      </c>
      <c r="C248" s="18">
        <f>'Derived 5Y Spreads'!G248</f>
        <v>82</v>
      </c>
      <c r="D248" s="19">
        <f>C248-'Derived 5Y Spreads'!G241</f>
        <v>0.6700000000000017</v>
      </c>
      <c r="E248" s="19">
        <f>C248-'Derived 5Y Spreads'!G213</f>
        <v>14.75</v>
      </c>
      <c r="F248" s="19">
        <f>C248-'Derived 5Y Spreads'!G94</f>
        <v>36.11</v>
      </c>
      <c r="G248" s="20">
        <f>'Derived 5Y Spreads'!E248</f>
      </c>
      <c r="H248" s="21" t="str">
        <f>'Derived 5Y Spreads'!O248</f>
        <v>stale</v>
      </c>
      <c r="I248" s="22" t="str">
        <f>'Derived 5Y Spreads'!A248</f>
        <v>screenshot-reference-20260824-v1</v>
      </c>
      <c r="J248" s="22" t="str">
        <f>'Derived 5Y Spreads'!D248</f>
        <v>SCREENSHOT.NVIDIA.5Y</v>
      </c>
      <c r="K248" s="5"/>
    </row>
    <row r="249" spans="1:11" x14ac:dyDescent="0.25">
      <c r="A249" s="7">
        <v>46233</v>
      </c>
      <c r="B249" s="6" t="s">
        <v>20</v>
      </c>
      <c r="C249" s="23">
        <f>'Derived 5Y Spreads'!G249</f>
        <v>69</v>
      </c>
      <c r="D249" s="24">
        <f>C249-'Derived 5Y Spreads'!G242</f>
        <v>0.6700000000000017</v>
      </c>
      <c r="E249" s="24">
        <f>C249-'Derived 5Y Spreads'!G214</f>
        <v>8.399999999999999</v>
      </c>
      <c r="F249" s="24">
        <f>C249-'Derived 5Y Spreads'!G95</f>
        <v>14.25</v>
      </c>
      <c r="G249" s="25">
        <f>'Derived 5Y Spreads'!E249</f>
      </c>
      <c r="H249" s="21" t="str">
        <f>'Derived 5Y Spreads'!O249</f>
        <v>stale</v>
      </c>
      <c r="I249" s="26" t="str">
        <f>'Derived 5Y Spreads'!A249</f>
        <v>screenshot-reference-20260824-v1</v>
      </c>
      <c r="J249" s="26" t="str">
        <f>'Derived 5Y Spreads'!D249</f>
        <v>SCREENSHOT.AMZN.5Y</v>
      </c>
      <c r="K249" s="9"/>
    </row>
    <row r="250" spans="1:11" x14ac:dyDescent="0.25">
      <c r="A250" s="3">
        <v>46233</v>
      </c>
      <c r="B250" s="2" t="s">
        <v>23</v>
      </c>
      <c r="C250" s="18">
        <f>'Derived 5Y Spreads'!G250</f>
        <v>64.8</v>
      </c>
      <c r="D250" s="19">
        <f>C250-'Derived 5Y Spreads'!G243</f>
        <v>-2.200000000000003</v>
      </c>
      <c r="E250" s="19">
        <f>C250-'Derived 5Y Spreads'!G215</f>
        <v>2.469999999999999</v>
      </c>
      <c r="F250" s="19">
        <f>C250-'Derived 5Y Spreads'!G96</f>
        <v>11.089999999999996</v>
      </c>
      <c r="G250" s="20">
        <f>'Derived 5Y Spreads'!E250</f>
      </c>
      <c r="H250" s="21" t="str">
        <f>'Derived 5Y Spreads'!O250</f>
        <v>stale</v>
      </c>
      <c r="I250" s="22" t="str">
        <f>'Derived 5Y Spreads'!A250</f>
        <v>screenshot-reference-20260824-v1</v>
      </c>
      <c r="J250" s="22" t="str">
        <f>'Derived 5Y Spreads'!D250</f>
        <v>SCREENSHOT.ALPHINC.5Y</v>
      </c>
      <c r="K250" s="5"/>
    </row>
    <row r="251" spans="1:11" x14ac:dyDescent="0.25">
      <c r="A251" s="7">
        <v>46233</v>
      </c>
      <c r="B251" s="6" t="s">
        <v>26</v>
      </c>
      <c r="C251" s="23">
        <f>'Derived 5Y Spreads'!G251</f>
        <v>55</v>
      </c>
      <c r="D251" s="24">
        <f>C251-'Derived 5Y Spreads'!G244</f>
        <v>1</v>
      </c>
      <c r="E251" s="24">
        <f>C251-'Derived 5Y Spreads'!G216</f>
        <v>6.200000000000003</v>
      </c>
      <c r="F251" s="24">
        <f>C251-'Derived 5Y Spreads'!G97</f>
        <v>13.14</v>
      </c>
      <c r="G251" s="25">
        <f>'Derived 5Y Spreads'!E251</f>
      </c>
      <c r="H251" s="21" t="str">
        <f>'Derived 5Y Spreads'!O251</f>
        <v>stale</v>
      </c>
      <c r="I251" s="26" t="str">
        <f>'Derived 5Y Spreads'!A251</f>
        <v>screenshot-reference-20260824-v1</v>
      </c>
      <c r="J251" s="26" t="str">
        <f>'Derived 5Y Spreads'!D251</f>
        <v>SCREENSHOT.MSFT.5Y</v>
      </c>
      <c r="K251" s="9"/>
    </row>
    <row r="252" spans="1:11" x14ac:dyDescent="0.25">
      <c r="A252" s="3">
        <v>46233</v>
      </c>
      <c r="B252" s="2" t="s">
        <v>29</v>
      </c>
      <c r="C252" s="18">
        <f>'Derived 5Y Spreads'!G252</f>
        <v>98</v>
      </c>
      <c r="D252" s="19">
        <f>C252-'Derived 5Y Spreads'!G245</f>
        <v>1.6700000000000017</v>
      </c>
      <c r="E252" s="19">
        <f>C252-'Derived 5Y Spreads'!G217</f>
        <v>16.200000000000003</v>
      </c>
      <c r="F252" s="19">
        <f>C252-'Derived 5Y Spreads'!G98</f>
        <v>29.25</v>
      </c>
      <c r="G252" s="20">
        <f>'Derived 5Y Spreads'!E252</f>
      </c>
      <c r="H252" s="21" t="str">
        <f>'Derived 5Y Spreads'!O252</f>
        <v>stale</v>
      </c>
      <c r="I252" s="22" t="str">
        <f>'Derived 5Y Spreads'!A252</f>
        <v>screenshot-reference-20260824-v1</v>
      </c>
      <c r="J252" s="22" t="str">
        <f>'Derived 5Y Spreads'!D252</f>
        <v>SCREENSHOT.METAPL.5Y</v>
      </c>
      <c r="K252" s="5"/>
    </row>
    <row r="253" spans="1:11" x14ac:dyDescent="0.25">
      <c r="A253" s="7">
        <v>46234</v>
      </c>
      <c r="B253" s="6" t="s">
        <v>9</v>
      </c>
      <c r="C253" s="23">
        <f>'Derived 5Y Spreads'!G253</f>
        <v>210.6</v>
      </c>
      <c r="D253" s="24">
        <f>C253-'Derived 5Y Spreads'!G246</f>
        <v>-3.200000000000017</v>
      </c>
      <c r="E253" s="24">
        <f>C253-'Derived 5Y Spreads'!G218</f>
        <v>5.599999999999994</v>
      </c>
      <c r="F253" s="24">
        <f>C253-'Derived 5Y Spreads'!G92</f>
        <v>39.889999999999986</v>
      </c>
      <c r="G253" s="25">
        <f>'Derived 5Y Spreads'!E253</f>
      </c>
      <c r="H253" s="21" t="str">
        <f>'Derived 5Y Spreads'!O253</f>
        <v>stale</v>
      </c>
      <c r="I253" s="26" t="str">
        <f>'Derived 5Y Spreads'!A253</f>
        <v>screenshot-reference-20260824-v1</v>
      </c>
      <c r="J253" s="26" t="str">
        <f>'Derived 5Y Spreads'!D253</f>
        <v>SCREENSHOT.ORCLE.5Y</v>
      </c>
      <c r="K253" s="9"/>
    </row>
    <row r="254" spans="1:11" x14ac:dyDescent="0.25">
      <c r="A254" s="3">
        <v>46234</v>
      </c>
      <c r="B254" s="2" t="s">
        <v>14</v>
      </c>
      <c r="C254" s="18">
        <f>'Derived 5Y Spreads'!G254</f>
        <v>917.5</v>
      </c>
      <c r="D254" s="19">
        <f>C254-'Derived 5Y Spreads'!G247</f>
        <v>-32.5</v>
      </c>
      <c r="E254" s="19">
        <f>C254-'Derived 5Y Spreads'!G219</f>
        <v>197.5</v>
      </c>
      <c r="F254" s="19">
        <f>C254-'Derived 5Y Spreads'!G93</f>
        <v>355.83000000000004</v>
      </c>
      <c r="G254" s="20">
        <f>'Derived 5Y Spreads'!E254</f>
      </c>
      <c r="H254" s="21" t="str">
        <f>'Derived 5Y Spreads'!O254</f>
        <v>stale</v>
      </c>
      <c r="I254" s="22" t="str">
        <f>'Derived 5Y Spreads'!A254</f>
        <v>screenshot-reference-20260824-v1</v>
      </c>
      <c r="J254" s="22" t="str">
        <f>'Derived 5Y Spreads'!D254</f>
        <v>SCREENSHOT.COREWEI.5Y</v>
      </c>
      <c r="K254" s="5"/>
    </row>
    <row r="255" spans="1:11" x14ac:dyDescent="0.25">
      <c r="A255" s="7">
        <v>46234</v>
      </c>
      <c r="B255" s="6" t="s">
        <v>17</v>
      </c>
      <c r="C255" s="23">
        <f>'Derived 5Y Spreads'!G255</f>
        <v>80</v>
      </c>
      <c r="D255" s="24">
        <f>C255-'Derived 5Y Spreads'!G248</f>
        <v>-2</v>
      </c>
      <c r="E255" s="24">
        <f>C255-'Derived 5Y Spreads'!G220</f>
        <v>10</v>
      </c>
      <c r="F255" s="24">
        <f>C255-'Derived 5Y Spreads'!G94</f>
        <v>34.11</v>
      </c>
      <c r="G255" s="25">
        <f>'Derived 5Y Spreads'!E255</f>
      </c>
      <c r="H255" s="21" t="str">
        <f>'Derived 5Y Spreads'!O255</f>
        <v>stale</v>
      </c>
      <c r="I255" s="26" t="str">
        <f>'Derived 5Y Spreads'!A255</f>
        <v>screenshot-reference-20260824-v1</v>
      </c>
      <c r="J255" s="26" t="str">
        <f>'Derived 5Y Spreads'!D255</f>
        <v>SCREENSHOT.NVIDIA.5Y</v>
      </c>
      <c r="K255" s="9"/>
    </row>
    <row r="256" spans="1:11" x14ac:dyDescent="0.25">
      <c r="A256" s="3">
        <v>46234</v>
      </c>
      <c r="B256" s="2" t="s">
        <v>20</v>
      </c>
      <c r="C256" s="18">
        <f>'Derived 5Y Spreads'!G256</f>
        <v>66</v>
      </c>
      <c r="D256" s="19">
        <f>C256-'Derived 5Y Spreads'!G249</f>
        <v>-3</v>
      </c>
      <c r="E256" s="19">
        <f>C256-'Derived 5Y Spreads'!G221</f>
        <v>3.799999999999997</v>
      </c>
      <c r="F256" s="19">
        <f>C256-'Derived 5Y Spreads'!G95</f>
        <v>11.25</v>
      </c>
      <c r="G256" s="20">
        <f>'Derived 5Y Spreads'!E256</f>
      </c>
      <c r="H256" s="21" t="str">
        <f>'Derived 5Y Spreads'!O256</f>
        <v>stale</v>
      </c>
      <c r="I256" s="22" t="str">
        <f>'Derived 5Y Spreads'!A256</f>
        <v>screenshot-reference-20260824-v1</v>
      </c>
      <c r="J256" s="22" t="str">
        <f>'Derived 5Y Spreads'!D256</f>
        <v>SCREENSHOT.AMZN.5Y</v>
      </c>
      <c r="K256" s="5"/>
    </row>
    <row r="257" spans="1:11" x14ac:dyDescent="0.25">
      <c r="A257" s="7">
        <v>46234</v>
      </c>
      <c r="B257" s="6" t="s">
        <v>23</v>
      </c>
      <c r="C257" s="23">
        <f>'Derived 5Y Spreads'!G257</f>
        <v>62.6</v>
      </c>
      <c r="D257" s="24">
        <f>C257-'Derived 5Y Spreads'!G250</f>
        <v>-2.1999999999999957</v>
      </c>
      <c r="E257" s="24">
        <f>C257-'Derived 5Y Spreads'!G222</f>
        <v>-1.3999999999999986</v>
      </c>
      <c r="F257" s="24">
        <f>C257-'Derived 5Y Spreads'!G96</f>
        <v>8.89</v>
      </c>
      <c r="G257" s="25">
        <f>'Derived 5Y Spreads'!E257</f>
      </c>
      <c r="H257" s="21" t="str">
        <f>'Derived 5Y Spreads'!O257</f>
        <v>stale</v>
      </c>
      <c r="I257" s="26" t="str">
        <f>'Derived 5Y Spreads'!A257</f>
        <v>screenshot-reference-20260824-v1</v>
      </c>
      <c r="J257" s="26" t="str">
        <f>'Derived 5Y Spreads'!D257</f>
        <v>SCREENSHOT.ALPHINC.5Y</v>
      </c>
      <c r="K257" s="9"/>
    </row>
    <row r="258" spans="1:11" x14ac:dyDescent="0.25">
      <c r="A258" s="3">
        <v>46234</v>
      </c>
      <c r="B258" s="2" t="s">
        <v>26</v>
      </c>
      <c r="C258" s="18">
        <f>'Derived 5Y Spreads'!G258</f>
        <v>53</v>
      </c>
      <c r="D258" s="19">
        <f>C258-'Derived 5Y Spreads'!G251</f>
        <v>-2</v>
      </c>
      <c r="E258" s="19">
        <f>C258-'Derived 5Y Spreads'!G223</f>
        <v>3.3999999999999986</v>
      </c>
      <c r="F258" s="19">
        <f>C258-'Derived 5Y Spreads'!G97</f>
        <v>11.14</v>
      </c>
      <c r="G258" s="20">
        <f>'Derived 5Y Spreads'!E258</f>
      </c>
      <c r="H258" s="21" t="str">
        <f>'Derived 5Y Spreads'!O258</f>
        <v>stale</v>
      </c>
      <c r="I258" s="22" t="str">
        <f>'Derived 5Y Spreads'!A258</f>
        <v>screenshot-reference-20260824-v1</v>
      </c>
      <c r="J258" s="22" t="str">
        <f>'Derived 5Y Spreads'!D258</f>
        <v>SCREENSHOT.MSFT.5Y</v>
      </c>
      <c r="K258" s="5"/>
    </row>
    <row r="259" spans="1:11" x14ac:dyDescent="0.25">
      <c r="A259" s="7">
        <v>46234</v>
      </c>
      <c r="B259" s="6" t="s">
        <v>29</v>
      </c>
      <c r="C259" s="23">
        <f>'Derived 5Y Spreads'!G259</f>
        <v>94.25</v>
      </c>
      <c r="D259" s="24">
        <f>C259-'Derived 5Y Spreads'!G252</f>
        <v>-3.75</v>
      </c>
      <c r="E259" s="24">
        <f>C259-'Derived 5Y Spreads'!G224</f>
        <v>9.650000000000006</v>
      </c>
      <c r="F259" s="24">
        <f>C259-'Derived 5Y Spreads'!G98</f>
        <v>25.5</v>
      </c>
      <c r="G259" s="25">
        <f>'Derived 5Y Spreads'!E259</f>
      </c>
      <c r="H259" s="21" t="str">
        <f>'Derived 5Y Spreads'!O259</f>
        <v>stale</v>
      </c>
      <c r="I259" s="26" t="str">
        <f>'Derived 5Y Spreads'!A259</f>
        <v>screenshot-reference-20260824-v1</v>
      </c>
      <c r="J259" s="26" t="str">
        <f>'Derived 5Y Spreads'!D259</f>
        <v>SCREENSHOT.METAPL.5Y</v>
      </c>
      <c r="K259" s="9"/>
    </row>
    <row r="260" spans="1:11" x14ac:dyDescent="0.25">
      <c r="A260" s="3">
        <v>46237</v>
      </c>
      <c r="B260" s="2" t="s">
        <v>9</v>
      </c>
      <c r="C260" s="18">
        <f>'Derived 5Y Spreads'!G260</f>
        <v>201</v>
      </c>
      <c r="D260" s="19">
        <f>C260-'Derived 5Y Spreads'!G253</f>
        <v>-9.599999999999994</v>
      </c>
      <c r="E260" s="19">
        <f>C260-'Derived 5Y Spreads'!G225</f>
        <v>-11.199999999999989</v>
      </c>
      <c r="F260" s="19">
        <f>C260-'Derived 5Y Spreads'!G113</f>
        <v>31.139999999999986</v>
      </c>
      <c r="G260" s="20">
        <f>'Derived 5Y Spreads'!E260</f>
      </c>
      <c r="H260" s="21" t="str">
        <f>'Derived 5Y Spreads'!O260</f>
        <v>stale</v>
      </c>
      <c r="I260" s="22" t="str">
        <f>'Derived 5Y Spreads'!A260</f>
        <v>screenshot-reference-20260824-v1</v>
      </c>
      <c r="J260" s="22" t="str">
        <f>'Derived 5Y Spreads'!D260</f>
        <v>SCREENSHOT.ORCLE.5Y</v>
      </c>
      <c r="K260" s="5"/>
    </row>
    <row r="261" spans="1:11" x14ac:dyDescent="0.25">
      <c r="A261" s="7">
        <v>46237</v>
      </c>
      <c r="B261" s="6" t="s">
        <v>14</v>
      </c>
      <c r="C261" s="23">
        <f>'Derived 5Y Spreads'!G261</f>
        <v>820</v>
      </c>
      <c r="D261" s="24">
        <f>C261-'Derived 5Y Spreads'!G254</f>
        <v>-97.5</v>
      </c>
      <c r="E261" s="24">
        <f>C261-'Derived 5Y Spreads'!G226</f>
        <v>70</v>
      </c>
      <c r="F261" s="24">
        <f>C261-'Derived 5Y Spreads'!G114</f>
        <v>232.5</v>
      </c>
      <c r="G261" s="25">
        <f>'Derived 5Y Spreads'!E261</f>
      </c>
      <c r="H261" s="21" t="str">
        <f>'Derived 5Y Spreads'!O261</f>
        <v>stale</v>
      </c>
      <c r="I261" s="26" t="str">
        <f>'Derived 5Y Spreads'!A261</f>
        <v>screenshot-reference-20260824-v1</v>
      </c>
      <c r="J261" s="26" t="str">
        <f>'Derived 5Y Spreads'!D261</f>
        <v>SCREENSHOT.COREWEI.5Y</v>
      </c>
      <c r="K261" s="9"/>
    </row>
    <row r="262" spans="1:11" x14ac:dyDescent="0.25">
      <c r="A262" s="3">
        <v>46237</v>
      </c>
      <c r="B262" s="2" t="s">
        <v>17</v>
      </c>
      <c r="C262" s="18">
        <f>'Derived 5Y Spreads'!G262</f>
        <v>74</v>
      </c>
      <c r="D262" s="19">
        <f>C262-'Derived 5Y Spreads'!G255</f>
        <v>-6</v>
      </c>
      <c r="E262" s="19">
        <f>C262-'Derived 5Y Spreads'!G227</f>
        <v>-6</v>
      </c>
      <c r="F262" s="19">
        <f>C262-'Derived 5Y Spreads'!G115</f>
        <v>28.439999999999998</v>
      </c>
      <c r="G262" s="20">
        <f>'Derived 5Y Spreads'!E262</f>
      </c>
      <c r="H262" s="21" t="str">
        <f>'Derived 5Y Spreads'!O262</f>
        <v>stale</v>
      </c>
      <c r="I262" s="22" t="str">
        <f>'Derived 5Y Spreads'!A262</f>
        <v>screenshot-reference-20260824-v1</v>
      </c>
      <c r="J262" s="22" t="str">
        <f>'Derived 5Y Spreads'!D262</f>
        <v>SCREENSHOT.NVIDIA.5Y</v>
      </c>
      <c r="K262" s="5"/>
    </row>
    <row r="263" spans="1:11" x14ac:dyDescent="0.25">
      <c r="A263" s="7">
        <v>46237</v>
      </c>
      <c r="B263" s="6" t="s">
        <v>20</v>
      </c>
      <c r="C263" s="23">
        <f>'Derived 5Y Spreads'!G263</f>
        <v>57</v>
      </c>
      <c r="D263" s="24">
        <f>C263-'Derived 5Y Spreads'!G256</f>
        <v>-9</v>
      </c>
      <c r="E263" s="24">
        <f>C263-'Derived 5Y Spreads'!G228</f>
        <v>-10</v>
      </c>
      <c r="F263" s="24">
        <f>C263-'Derived 5Y Spreads'!G116</f>
        <v>2.5</v>
      </c>
      <c r="G263" s="25">
        <f>'Derived 5Y Spreads'!E263</f>
      </c>
      <c r="H263" s="21" t="str">
        <f>'Derived 5Y Spreads'!O263</f>
        <v>stale</v>
      </c>
      <c r="I263" s="26" t="str">
        <f>'Derived 5Y Spreads'!A263</f>
        <v>screenshot-reference-20260824-v1</v>
      </c>
      <c r="J263" s="26" t="str">
        <f>'Derived 5Y Spreads'!D263</f>
        <v>SCREENSHOT.AMZN.5Y</v>
      </c>
      <c r="K263" s="9"/>
    </row>
    <row r="264" spans="1:11" x14ac:dyDescent="0.25">
      <c r="A264" s="3">
        <v>46237</v>
      </c>
      <c r="B264" s="2" t="s">
        <v>23</v>
      </c>
      <c r="C264" s="18">
        <f>'Derived 5Y Spreads'!G264</f>
        <v>56</v>
      </c>
      <c r="D264" s="19">
        <f>C264-'Derived 5Y Spreads'!G257</f>
        <v>-6.600000000000001</v>
      </c>
      <c r="E264" s="19">
        <f>C264-'Derived 5Y Spreads'!G229</f>
        <v>-9.799999999999997</v>
      </c>
      <c r="F264" s="19">
        <f>C264-'Derived 5Y Spreads'!G117</f>
        <v>2.3999999999999986</v>
      </c>
      <c r="G264" s="20">
        <f>'Derived 5Y Spreads'!E264</f>
      </c>
      <c r="H264" s="21" t="str">
        <f>'Derived 5Y Spreads'!O264</f>
        <v>stale</v>
      </c>
      <c r="I264" s="22" t="str">
        <f>'Derived 5Y Spreads'!A264</f>
        <v>screenshot-reference-20260824-v1</v>
      </c>
      <c r="J264" s="22" t="str">
        <f>'Derived 5Y Spreads'!D264</f>
        <v>SCREENSHOT.ALPHINC.5Y</v>
      </c>
      <c r="K264" s="5"/>
    </row>
    <row r="265" spans="1:11" x14ac:dyDescent="0.25">
      <c r="A265" s="7">
        <v>46237</v>
      </c>
      <c r="B265" s="6" t="s">
        <v>26</v>
      </c>
      <c r="C265" s="23">
        <f>'Derived 5Y Spreads'!G265</f>
        <v>47</v>
      </c>
      <c r="D265" s="24">
        <f>C265-'Derived 5Y Spreads'!G258</f>
        <v>-6</v>
      </c>
      <c r="E265" s="24">
        <f>C265-'Derived 5Y Spreads'!G230</f>
        <v>-5</v>
      </c>
      <c r="F265" s="24">
        <f>C265-'Derived 5Y Spreads'!G118</f>
        <v>5.57</v>
      </c>
      <c r="G265" s="25">
        <f>'Derived 5Y Spreads'!E265</f>
      </c>
      <c r="H265" s="21" t="str">
        <f>'Derived 5Y Spreads'!O265</f>
        <v>stale</v>
      </c>
      <c r="I265" s="26" t="str">
        <f>'Derived 5Y Spreads'!A265</f>
        <v>screenshot-reference-20260824-v1</v>
      </c>
      <c r="J265" s="26" t="str">
        <f>'Derived 5Y Spreads'!D265</f>
        <v>SCREENSHOT.MSFT.5Y</v>
      </c>
      <c r="K265" s="9"/>
    </row>
    <row r="266" spans="1:11" x14ac:dyDescent="0.25">
      <c r="A266" s="3">
        <v>46237</v>
      </c>
      <c r="B266" s="2" t="s">
        <v>29</v>
      </c>
      <c r="C266" s="18">
        <f>'Derived 5Y Spreads'!G266</f>
        <v>83</v>
      </c>
      <c r="D266" s="19">
        <f>C266-'Derived 5Y Spreads'!G259</f>
        <v>-11.25</v>
      </c>
      <c r="E266" s="19">
        <f>C266-'Derived 5Y Spreads'!G231</f>
        <v>-10</v>
      </c>
      <c r="F266" s="19">
        <f>C266-'Derived 5Y Spreads'!G119</f>
        <v>14.75</v>
      </c>
      <c r="G266" s="20">
        <f>'Derived 5Y Spreads'!E266</f>
      </c>
      <c r="H266" s="21" t="str">
        <f>'Derived 5Y Spreads'!O266</f>
        <v>stale</v>
      </c>
      <c r="I266" s="22" t="str">
        <f>'Derived 5Y Spreads'!A266</f>
        <v>screenshot-reference-20260824-v1</v>
      </c>
      <c r="J266" s="22" t="str">
        <f>'Derived 5Y Spreads'!D266</f>
        <v>SCREENSHOT.METAPL.5Y</v>
      </c>
      <c r="K266" s="5"/>
    </row>
    <row r="267" spans="1:11" x14ac:dyDescent="0.25">
      <c r="A267" s="7">
        <v>46238</v>
      </c>
      <c r="B267" s="6" t="s">
        <v>9</v>
      </c>
      <c r="C267" s="23">
        <f>'Derived 5Y Spreads'!G267</f>
        <v>197</v>
      </c>
      <c r="D267" s="24">
        <f>C267-'Derived 5Y Spreads'!G260</f>
        <v>-4</v>
      </c>
      <c r="E267" s="24">
        <f>C267-'Derived 5Y Spreads'!G232</f>
        <v>-17.599999999999994</v>
      </c>
      <c r="F267" s="24">
        <f>C267-'Derived 5Y Spreads'!G113</f>
        <v>27.139999999999986</v>
      </c>
      <c r="G267" s="25">
        <f>'Derived 5Y Spreads'!E267</f>
      </c>
      <c r="H267" s="21" t="str">
        <f>'Derived 5Y Spreads'!O267</f>
        <v>stale</v>
      </c>
      <c r="I267" s="26" t="str">
        <f>'Derived 5Y Spreads'!A267</f>
        <v>screenshot-reference-20260824-v1</v>
      </c>
      <c r="J267" s="26" t="str">
        <f>'Derived 5Y Spreads'!D267</f>
        <v>SCREENSHOT.ORCLE.5Y</v>
      </c>
      <c r="K267" s="9"/>
    </row>
    <row r="268" spans="1:11" x14ac:dyDescent="0.25">
      <c r="A268" s="3">
        <v>46238</v>
      </c>
      <c r="B268" s="2" t="s">
        <v>14</v>
      </c>
      <c r="C268" s="18">
        <f>'Derived 5Y Spreads'!G268</f>
        <v>783.33</v>
      </c>
      <c r="D268" s="19">
        <f>C268-'Derived 5Y Spreads'!G261</f>
        <v>-36.66999999999996</v>
      </c>
      <c r="E268" s="19">
        <f>C268-'Derived 5Y Spreads'!G233</f>
        <v>-33.33999999999992</v>
      </c>
      <c r="F268" s="19">
        <f>C268-'Derived 5Y Spreads'!G114</f>
        <v>195.83000000000004</v>
      </c>
      <c r="G268" s="20">
        <f>'Derived 5Y Spreads'!E268</f>
      </c>
      <c r="H268" s="21" t="str">
        <f>'Derived 5Y Spreads'!O268</f>
        <v>stale</v>
      </c>
      <c r="I268" s="22" t="str">
        <f>'Derived 5Y Spreads'!A268</f>
        <v>screenshot-reference-20260824-v1</v>
      </c>
      <c r="J268" s="22" t="str">
        <f>'Derived 5Y Spreads'!D268</f>
        <v>SCREENSHOT.COREWEI.5Y</v>
      </c>
      <c r="K268" s="5"/>
    </row>
    <row r="269" spans="1:11" x14ac:dyDescent="0.25">
      <c r="A269" s="7">
        <v>46238</v>
      </c>
      <c r="B269" s="6" t="s">
        <v>17</v>
      </c>
      <c r="C269" s="23">
        <f>'Derived 5Y Spreads'!G269</f>
        <v>72</v>
      </c>
      <c r="D269" s="24">
        <f>C269-'Derived 5Y Spreads'!G262</f>
        <v>-2</v>
      </c>
      <c r="E269" s="24">
        <f>C269-'Derived 5Y Spreads'!G234</f>
        <v>-8.670000000000002</v>
      </c>
      <c r="F269" s="24">
        <f>C269-'Derived 5Y Spreads'!G115</f>
        <v>26.439999999999998</v>
      </c>
      <c r="G269" s="25">
        <f>'Derived 5Y Spreads'!E269</f>
      </c>
      <c r="H269" s="21" t="str">
        <f>'Derived 5Y Spreads'!O269</f>
        <v>stale</v>
      </c>
      <c r="I269" s="26" t="str">
        <f>'Derived 5Y Spreads'!A269</f>
        <v>screenshot-reference-20260824-v1</v>
      </c>
      <c r="J269" s="26" t="str">
        <f>'Derived 5Y Spreads'!D269</f>
        <v>SCREENSHOT.NVIDIA.5Y</v>
      </c>
      <c r="K269" s="9"/>
    </row>
    <row r="270" spans="1:11" x14ac:dyDescent="0.25">
      <c r="A270" s="3">
        <v>46238</v>
      </c>
      <c r="B270" s="2" t="s">
        <v>20</v>
      </c>
      <c r="C270" s="18">
        <f>'Derived 5Y Spreads'!G270</f>
        <v>56.5</v>
      </c>
      <c r="D270" s="19">
        <f>C270-'Derived 5Y Spreads'!G263</f>
        <v>-0.5</v>
      </c>
      <c r="E270" s="19">
        <f>C270-'Derived 5Y Spreads'!G235</f>
        <v>-11.170000000000002</v>
      </c>
      <c r="F270" s="19">
        <f>C270-'Derived 5Y Spreads'!G116</f>
        <v>2</v>
      </c>
      <c r="G270" s="20">
        <f>'Derived 5Y Spreads'!E270</f>
      </c>
      <c r="H270" s="21" t="str">
        <f>'Derived 5Y Spreads'!O270</f>
        <v>stale</v>
      </c>
      <c r="I270" s="22" t="str">
        <f>'Derived 5Y Spreads'!A270</f>
        <v>screenshot-reference-20260824-v1</v>
      </c>
      <c r="J270" s="22" t="str">
        <f>'Derived 5Y Spreads'!D270</f>
        <v>SCREENSHOT.AMZN.5Y</v>
      </c>
      <c r="K270" s="5"/>
    </row>
    <row r="271" spans="1:11" x14ac:dyDescent="0.25">
      <c r="A271" s="7">
        <v>46238</v>
      </c>
      <c r="B271" s="6" t="s">
        <v>23</v>
      </c>
      <c r="C271" s="23">
        <f>'Derived 5Y Spreads'!G271</f>
        <v>55.75</v>
      </c>
      <c r="D271" s="24">
        <f>C271-'Derived 5Y Spreads'!G264</f>
        <v>-0.25</v>
      </c>
      <c r="E271" s="24">
        <f>C271-'Derived 5Y Spreads'!G236</f>
        <v>-10.650000000000006</v>
      </c>
      <c r="F271" s="24">
        <f>C271-'Derived 5Y Spreads'!G117</f>
        <v>2.1499999999999986</v>
      </c>
      <c r="G271" s="25">
        <f>'Derived 5Y Spreads'!E271</f>
      </c>
      <c r="H271" s="21" t="str">
        <f>'Derived 5Y Spreads'!O271</f>
        <v>stale</v>
      </c>
      <c r="I271" s="26" t="str">
        <f>'Derived 5Y Spreads'!A271</f>
        <v>screenshot-reference-20260824-v1</v>
      </c>
      <c r="J271" s="26" t="str">
        <f>'Derived 5Y Spreads'!D271</f>
        <v>SCREENSHOT.ALPHINC.5Y</v>
      </c>
      <c r="K271" s="9"/>
    </row>
    <row r="272" spans="1:11" x14ac:dyDescent="0.25">
      <c r="A272" s="3">
        <v>46238</v>
      </c>
      <c r="B272" s="2" t="s">
        <v>26</v>
      </c>
      <c r="C272" s="18">
        <f>'Derived 5Y Spreads'!G272</f>
        <v>46.75</v>
      </c>
      <c r="D272" s="19">
        <f>C272-'Derived 5Y Spreads'!G265</f>
        <v>-0.25</v>
      </c>
      <c r="E272" s="19">
        <f>C272-'Derived 5Y Spreads'!G237</f>
        <v>-6.25</v>
      </c>
      <c r="F272" s="19">
        <f>C272-'Derived 5Y Spreads'!G118</f>
        <v>5.32</v>
      </c>
      <c r="G272" s="20">
        <f>'Derived 5Y Spreads'!E272</f>
      </c>
      <c r="H272" s="21" t="str">
        <f>'Derived 5Y Spreads'!O272</f>
        <v>stale</v>
      </c>
      <c r="I272" s="22" t="str">
        <f>'Derived 5Y Spreads'!A272</f>
        <v>screenshot-reference-20260824-v1</v>
      </c>
      <c r="J272" s="22" t="str">
        <f>'Derived 5Y Spreads'!D272</f>
        <v>SCREENSHOT.MSFT.5Y</v>
      </c>
      <c r="K272" s="5"/>
    </row>
    <row r="273" spans="1:11" x14ac:dyDescent="0.25">
      <c r="A273" s="7">
        <v>46238</v>
      </c>
      <c r="B273" s="6" t="s">
        <v>29</v>
      </c>
      <c r="C273" s="23">
        <f>'Derived 5Y Spreads'!G273</f>
        <v>83.43</v>
      </c>
      <c r="D273" s="24">
        <f>C273-'Derived 5Y Spreads'!G266</f>
        <v>0.4300000000000068</v>
      </c>
      <c r="E273" s="24">
        <f>C273-'Derived 5Y Spreads'!G238</f>
        <v>-11.239999999999995</v>
      </c>
      <c r="F273" s="24">
        <f>C273-'Derived 5Y Spreads'!G119</f>
        <v>15.180000000000007</v>
      </c>
      <c r="G273" s="25">
        <f>'Derived 5Y Spreads'!E273</f>
      </c>
      <c r="H273" s="21" t="str">
        <f>'Derived 5Y Spreads'!O273</f>
        <v>stale</v>
      </c>
      <c r="I273" s="26" t="str">
        <f>'Derived 5Y Spreads'!A273</f>
        <v>screenshot-reference-20260824-v1</v>
      </c>
      <c r="J273" s="26" t="str">
        <f>'Derived 5Y Spreads'!D273</f>
        <v>SCREENSHOT.METAPL.5Y</v>
      </c>
      <c r="K273" s="9"/>
    </row>
    <row r="274" spans="1:11" x14ac:dyDescent="0.25">
      <c r="A274" s="3">
        <v>46239</v>
      </c>
      <c r="B274" s="2" t="s">
        <v>9</v>
      </c>
      <c r="C274" s="18">
        <f>'Derived 5Y Spreads'!G274</f>
        <v>193</v>
      </c>
      <c r="D274" s="19">
        <f>C274-'Derived 5Y Spreads'!G267</f>
        <v>-4</v>
      </c>
      <c r="E274" s="19">
        <f>C274-'Derived 5Y Spreads'!G239</f>
        <v>-24</v>
      </c>
      <c r="F274" s="19">
        <f>C274-'Derived 5Y Spreads'!G113</f>
        <v>23.139999999999986</v>
      </c>
      <c r="G274" s="20">
        <f>'Derived 5Y Spreads'!E274</f>
      </c>
      <c r="H274" s="21" t="str">
        <f>'Derived 5Y Spreads'!O274</f>
        <v>stale</v>
      </c>
      <c r="I274" s="22" t="str">
        <f>'Derived 5Y Spreads'!A274</f>
        <v>screenshot-reference-20260824-v1</v>
      </c>
      <c r="J274" s="22" t="str">
        <f>'Derived 5Y Spreads'!D274</f>
        <v>SCREENSHOT.ORCLE.5Y</v>
      </c>
      <c r="K274" s="5"/>
    </row>
    <row r="275" spans="1:11" x14ac:dyDescent="0.25">
      <c r="A275" s="7">
        <v>46239</v>
      </c>
      <c r="B275" s="6" t="s">
        <v>14</v>
      </c>
      <c r="C275" s="23">
        <f>'Derived 5Y Spreads'!G275</f>
        <v>746.67</v>
      </c>
      <c r="D275" s="24">
        <f>C275-'Derived 5Y Spreads'!G268</f>
        <v>-36.66000000000008</v>
      </c>
      <c r="E275" s="24">
        <f>C275-'Derived 5Y Spreads'!G240</f>
        <v>-136.66000000000008</v>
      </c>
      <c r="F275" s="24">
        <f>C275-'Derived 5Y Spreads'!G114</f>
        <v>159.16999999999996</v>
      </c>
      <c r="G275" s="25">
        <f>'Derived 5Y Spreads'!E275</f>
      </c>
      <c r="H275" s="21" t="str">
        <f>'Derived 5Y Spreads'!O275</f>
        <v>stale</v>
      </c>
      <c r="I275" s="26" t="str">
        <f>'Derived 5Y Spreads'!A275</f>
        <v>screenshot-reference-20260824-v1</v>
      </c>
      <c r="J275" s="26" t="str">
        <f>'Derived 5Y Spreads'!D275</f>
        <v>SCREENSHOT.COREWEI.5Y</v>
      </c>
      <c r="K275" s="9"/>
    </row>
    <row r="276" spans="1:11" x14ac:dyDescent="0.25">
      <c r="A276" s="3">
        <v>46239</v>
      </c>
      <c r="B276" s="2" t="s">
        <v>17</v>
      </c>
      <c r="C276" s="18">
        <f>'Derived 5Y Spreads'!G276</f>
        <v>70</v>
      </c>
      <c r="D276" s="19">
        <f>C276-'Derived 5Y Spreads'!G269</f>
        <v>-2</v>
      </c>
      <c r="E276" s="19">
        <f>C276-'Derived 5Y Spreads'!G241</f>
        <v>-11.329999999999998</v>
      </c>
      <c r="F276" s="19">
        <f>C276-'Derived 5Y Spreads'!G115</f>
        <v>24.439999999999998</v>
      </c>
      <c r="G276" s="20">
        <f>'Derived 5Y Spreads'!E276</f>
      </c>
      <c r="H276" s="21" t="str">
        <f>'Derived 5Y Spreads'!O276</f>
        <v>stale</v>
      </c>
      <c r="I276" s="22" t="str">
        <f>'Derived 5Y Spreads'!A276</f>
        <v>screenshot-reference-20260824-v1</v>
      </c>
      <c r="J276" s="22" t="str">
        <f>'Derived 5Y Spreads'!D276</f>
        <v>SCREENSHOT.NVIDIA.5Y</v>
      </c>
      <c r="K276" s="5"/>
    </row>
    <row r="277" spans="1:11" x14ac:dyDescent="0.25">
      <c r="A277" s="7">
        <v>46239</v>
      </c>
      <c r="B277" s="6" t="s">
        <v>20</v>
      </c>
      <c r="C277" s="23">
        <f>'Derived 5Y Spreads'!G277</f>
        <v>56</v>
      </c>
      <c r="D277" s="24">
        <f>C277-'Derived 5Y Spreads'!G270</f>
        <v>-0.5</v>
      </c>
      <c r="E277" s="24">
        <f>C277-'Derived 5Y Spreads'!G242</f>
        <v>-12.329999999999998</v>
      </c>
      <c r="F277" s="24">
        <f>C277-'Derived 5Y Spreads'!G116</f>
        <v>1.5</v>
      </c>
      <c r="G277" s="25">
        <f>'Derived 5Y Spreads'!E277</f>
      </c>
      <c r="H277" s="21" t="str">
        <f>'Derived 5Y Spreads'!O277</f>
        <v>stale</v>
      </c>
      <c r="I277" s="26" t="str">
        <f>'Derived 5Y Spreads'!A277</f>
        <v>screenshot-reference-20260824-v1</v>
      </c>
      <c r="J277" s="26" t="str">
        <f>'Derived 5Y Spreads'!D277</f>
        <v>SCREENSHOT.AMZN.5Y</v>
      </c>
      <c r="K277" s="9"/>
    </row>
    <row r="278" spans="1:11" x14ac:dyDescent="0.25">
      <c r="A278" s="3">
        <v>46239</v>
      </c>
      <c r="B278" s="2" t="s">
        <v>23</v>
      </c>
      <c r="C278" s="18">
        <f>'Derived 5Y Spreads'!G278</f>
        <v>55.5</v>
      </c>
      <c r="D278" s="19">
        <f>C278-'Derived 5Y Spreads'!G271</f>
        <v>-0.25</v>
      </c>
      <c r="E278" s="19">
        <f>C278-'Derived 5Y Spreads'!G243</f>
        <v>-11.5</v>
      </c>
      <c r="F278" s="19">
        <f>C278-'Derived 5Y Spreads'!G117</f>
        <v>1.8999999999999986</v>
      </c>
      <c r="G278" s="20">
        <f>'Derived 5Y Spreads'!E278</f>
      </c>
      <c r="H278" s="21" t="str">
        <f>'Derived 5Y Spreads'!O278</f>
        <v>stale</v>
      </c>
      <c r="I278" s="22" t="str">
        <f>'Derived 5Y Spreads'!A278</f>
        <v>screenshot-reference-20260824-v1</v>
      </c>
      <c r="J278" s="22" t="str">
        <f>'Derived 5Y Spreads'!D278</f>
        <v>SCREENSHOT.ALPHINC.5Y</v>
      </c>
      <c r="K278" s="5"/>
    </row>
    <row r="279" spans="1:11" x14ac:dyDescent="0.25">
      <c r="A279" s="7">
        <v>46239</v>
      </c>
      <c r="B279" s="6" t="s">
        <v>26</v>
      </c>
      <c r="C279" s="23">
        <f>'Derived 5Y Spreads'!G279</f>
        <v>46.5</v>
      </c>
      <c r="D279" s="24">
        <f>C279-'Derived 5Y Spreads'!G272</f>
        <v>-0.25</v>
      </c>
      <c r="E279" s="24">
        <f>C279-'Derived 5Y Spreads'!G244</f>
        <v>-7.5</v>
      </c>
      <c r="F279" s="24">
        <f>C279-'Derived 5Y Spreads'!G118</f>
        <v>5.07</v>
      </c>
      <c r="G279" s="25">
        <f>'Derived 5Y Spreads'!E279</f>
      </c>
      <c r="H279" s="21" t="str">
        <f>'Derived 5Y Spreads'!O279</f>
        <v>stale</v>
      </c>
      <c r="I279" s="26" t="str">
        <f>'Derived 5Y Spreads'!A279</f>
        <v>screenshot-reference-20260824-v1</v>
      </c>
      <c r="J279" s="26" t="str">
        <f>'Derived 5Y Spreads'!D279</f>
        <v>SCREENSHOT.MSFT.5Y</v>
      </c>
      <c r="K279" s="9"/>
    </row>
    <row r="280" spans="1:11" x14ac:dyDescent="0.25">
      <c r="A280" s="3">
        <v>46239</v>
      </c>
      <c r="B280" s="2" t="s">
        <v>29</v>
      </c>
      <c r="C280" s="18">
        <f>'Derived 5Y Spreads'!G280</f>
        <v>83.86</v>
      </c>
      <c r="D280" s="19">
        <f>C280-'Derived 5Y Spreads'!G273</f>
        <v>0.4299999999999926</v>
      </c>
      <c r="E280" s="19">
        <f>C280-'Derived 5Y Spreads'!G245</f>
        <v>-12.469999999999999</v>
      </c>
      <c r="F280" s="19">
        <f>C280-'Derived 5Y Spreads'!G119</f>
        <v>15.61</v>
      </c>
      <c r="G280" s="20">
        <f>'Derived 5Y Spreads'!E280</f>
      </c>
      <c r="H280" s="21" t="str">
        <f>'Derived 5Y Spreads'!O280</f>
        <v>stale</v>
      </c>
      <c r="I280" s="22" t="str">
        <f>'Derived 5Y Spreads'!A280</f>
        <v>screenshot-reference-20260824-v1</v>
      </c>
      <c r="J280" s="22" t="str">
        <f>'Derived 5Y Spreads'!D280</f>
        <v>SCREENSHOT.METAPL.5Y</v>
      </c>
      <c r="K280" s="5"/>
    </row>
    <row r="281" spans="1:11" x14ac:dyDescent="0.25">
      <c r="A281" s="7">
        <v>46240</v>
      </c>
      <c r="B281" s="6" t="s">
        <v>9</v>
      </c>
      <c r="C281" s="23">
        <f>'Derived 5Y Spreads'!G281</f>
        <v>189</v>
      </c>
      <c r="D281" s="24">
        <f>C281-'Derived 5Y Spreads'!G274</f>
        <v>-4</v>
      </c>
      <c r="E281" s="24">
        <f>C281-'Derived 5Y Spreads'!G246</f>
        <v>-24.80000000000001</v>
      </c>
      <c r="F281" s="24">
        <f>C281-'Derived 5Y Spreads'!G120</f>
        <v>20</v>
      </c>
      <c r="G281" s="25">
        <f>'Derived 5Y Spreads'!E281</f>
      </c>
      <c r="H281" s="21" t="str">
        <f>'Derived 5Y Spreads'!O281</f>
        <v>stale</v>
      </c>
      <c r="I281" s="26" t="str">
        <f>'Derived 5Y Spreads'!A281</f>
        <v>screenshot-reference-20260824-v1</v>
      </c>
      <c r="J281" s="26" t="str">
        <f>'Derived 5Y Spreads'!D281</f>
        <v>SCREENSHOT.ORCLE.5Y</v>
      </c>
      <c r="K281" s="9"/>
    </row>
    <row r="282" spans="1:11" x14ac:dyDescent="0.25">
      <c r="A282" s="3">
        <v>46240</v>
      </c>
      <c r="B282" s="2" t="s">
        <v>14</v>
      </c>
      <c r="C282" s="18">
        <f>'Derived 5Y Spreads'!G282</f>
        <v>710</v>
      </c>
      <c r="D282" s="19">
        <f>C282-'Derived 5Y Spreads'!G275</f>
        <v>-36.66999999999996</v>
      </c>
      <c r="E282" s="19">
        <f>C282-'Derived 5Y Spreads'!G247</f>
        <v>-240</v>
      </c>
      <c r="F282" s="19">
        <f>C282-'Derived 5Y Spreads'!G121</f>
        <v>115</v>
      </c>
      <c r="G282" s="20">
        <f>'Derived 5Y Spreads'!E282</f>
      </c>
      <c r="H282" s="21" t="str">
        <f>'Derived 5Y Spreads'!O282</f>
        <v>stale</v>
      </c>
      <c r="I282" s="22" t="str">
        <f>'Derived 5Y Spreads'!A282</f>
        <v>screenshot-reference-20260824-v1</v>
      </c>
      <c r="J282" s="22" t="str">
        <f>'Derived 5Y Spreads'!D282</f>
        <v>SCREENSHOT.COREWEI.5Y</v>
      </c>
      <c r="K282" s="5"/>
    </row>
    <row r="283" spans="1:11" x14ac:dyDescent="0.25">
      <c r="A283" s="7">
        <v>46240</v>
      </c>
      <c r="B283" s="6" t="s">
        <v>17</v>
      </c>
      <c r="C283" s="23">
        <f>'Derived 5Y Spreads'!G283</f>
        <v>68</v>
      </c>
      <c r="D283" s="24">
        <f>C283-'Derived 5Y Spreads'!G276</f>
        <v>-2</v>
      </c>
      <c r="E283" s="24">
        <f>C283-'Derived 5Y Spreads'!G248</f>
        <v>-14</v>
      </c>
      <c r="F283" s="24">
        <f>C283-'Derived 5Y Spreads'!G122</f>
        <v>22.78</v>
      </c>
      <c r="G283" s="25">
        <f>'Derived 5Y Spreads'!E283</f>
      </c>
      <c r="H283" s="21" t="str">
        <f>'Derived 5Y Spreads'!O283</f>
        <v>stale</v>
      </c>
      <c r="I283" s="26" t="str">
        <f>'Derived 5Y Spreads'!A283</f>
        <v>screenshot-reference-20260824-v1</v>
      </c>
      <c r="J283" s="26" t="str">
        <f>'Derived 5Y Spreads'!D283</f>
        <v>SCREENSHOT.NVIDIA.5Y</v>
      </c>
      <c r="K283" s="9"/>
    </row>
    <row r="284" spans="1:11" x14ac:dyDescent="0.25">
      <c r="A284" s="3">
        <v>46240</v>
      </c>
      <c r="B284" s="2" t="s">
        <v>20</v>
      </c>
      <c r="C284" s="18">
        <f>'Derived 5Y Spreads'!G284</f>
        <v>55.5</v>
      </c>
      <c r="D284" s="19">
        <f>C284-'Derived 5Y Spreads'!G277</f>
        <v>-0.5</v>
      </c>
      <c r="E284" s="19">
        <f>C284-'Derived 5Y Spreads'!G249</f>
        <v>-13.5</v>
      </c>
      <c r="F284" s="19">
        <f>C284-'Derived 5Y Spreads'!G123</f>
        <v>2.5</v>
      </c>
      <c r="G284" s="20">
        <f>'Derived 5Y Spreads'!E284</f>
      </c>
      <c r="H284" s="21" t="str">
        <f>'Derived 5Y Spreads'!O284</f>
        <v>stale</v>
      </c>
      <c r="I284" s="22" t="str">
        <f>'Derived 5Y Spreads'!A284</f>
        <v>screenshot-reference-20260824-v1</v>
      </c>
      <c r="J284" s="22" t="str">
        <f>'Derived 5Y Spreads'!D284</f>
        <v>SCREENSHOT.AMZN.5Y</v>
      </c>
      <c r="K284" s="5"/>
    </row>
    <row r="285" spans="1:11" x14ac:dyDescent="0.25">
      <c r="A285" s="7">
        <v>46240</v>
      </c>
      <c r="B285" s="6" t="s">
        <v>23</v>
      </c>
      <c r="C285" s="23">
        <f>'Derived 5Y Spreads'!G285</f>
        <v>55.25</v>
      </c>
      <c r="D285" s="24">
        <f>C285-'Derived 5Y Spreads'!G278</f>
        <v>-0.25</v>
      </c>
      <c r="E285" s="24">
        <f>C285-'Derived 5Y Spreads'!G250</f>
        <v>-9.549999999999997</v>
      </c>
      <c r="F285" s="24">
        <f>C285-'Derived 5Y Spreads'!G124</f>
        <v>2.25</v>
      </c>
      <c r="G285" s="25">
        <f>'Derived 5Y Spreads'!E285</f>
      </c>
      <c r="H285" s="21" t="str">
        <f>'Derived 5Y Spreads'!O285</f>
        <v>stale</v>
      </c>
      <c r="I285" s="26" t="str">
        <f>'Derived 5Y Spreads'!A285</f>
        <v>screenshot-reference-20260824-v1</v>
      </c>
      <c r="J285" s="26" t="str">
        <f>'Derived 5Y Spreads'!D285</f>
        <v>SCREENSHOT.ALPHINC.5Y</v>
      </c>
      <c r="K285" s="9"/>
    </row>
    <row r="286" spans="1:11" x14ac:dyDescent="0.25">
      <c r="A286" s="3">
        <v>46240</v>
      </c>
      <c r="B286" s="2" t="s">
        <v>26</v>
      </c>
      <c r="C286" s="18">
        <f>'Derived 5Y Spreads'!G286</f>
        <v>46.25</v>
      </c>
      <c r="D286" s="19">
        <f>C286-'Derived 5Y Spreads'!G279</f>
        <v>-0.25</v>
      </c>
      <c r="E286" s="19">
        <f>C286-'Derived 5Y Spreads'!G251</f>
        <v>-8.75</v>
      </c>
      <c r="F286" s="19">
        <f>C286-'Derived 5Y Spreads'!G125</f>
        <v>5.25</v>
      </c>
      <c r="G286" s="20">
        <f>'Derived 5Y Spreads'!E286</f>
      </c>
      <c r="H286" s="21" t="str">
        <f>'Derived 5Y Spreads'!O286</f>
        <v>stale</v>
      </c>
      <c r="I286" s="22" t="str">
        <f>'Derived 5Y Spreads'!A286</f>
        <v>screenshot-reference-20260824-v1</v>
      </c>
      <c r="J286" s="22" t="str">
        <f>'Derived 5Y Spreads'!D286</f>
        <v>SCREENSHOT.MSFT.5Y</v>
      </c>
      <c r="K286" s="5"/>
    </row>
    <row r="287" spans="1:11" x14ac:dyDescent="0.25">
      <c r="A287" s="7">
        <v>46240</v>
      </c>
      <c r="B287" s="6" t="s">
        <v>29</v>
      </c>
      <c r="C287" s="23">
        <f>'Derived 5Y Spreads'!G287</f>
        <v>84.29</v>
      </c>
      <c r="D287" s="24">
        <f>C287-'Derived 5Y Spreads'!G280</f>
        <v>0.4300000000000068</v>
      </c>
      <c r="E287" s="24">
        <f>C287-'Derived 5Y Spreads'!G252</f>
        <v>-13.709999999999994</v>
      </c>
      <c r="F287" s="24">
        <f>C287-'Derived 5Y Spreads'!G126</f>
        <v>15.290000000000006</v>
      </c>
      <c r="G287" s="25">
        <f>'Derived 5Y Spreads'!E287</f>
      </c>
      <c r="H287" s="21" t="str">
        <f>'Derived 5Y Spreads'!O287</f>
        <v>stale</v>
      </c>
      <c r="I287" s="26" t="str">
        <f>'Derived 5Y Spreads'!A287</f>
        <v>screenshot-reference-20260824-v1</v>
      </c>
      <c r="J287" s="26" t="str">
        <f>'Derived 5Y Spreads'!D287</f>
        <v>SCREENSHOT.METAPL.5Y</v>
      </c>
      <c r="K287" s="9"/>
    </row>
    <row r="288" spans="1:11" x14ac:dyDescent="0.25">
      <c r="A288" s="3">
        <v>46241</v>
      </c>
      <c r="B288" s="2" t="s">
        <v>9</v>
      </c>
      <c r="C288" s="18">
        <f>'Derived 5Y Spreads'!G288</f>
        <v>190.5</v>
      </c>
      <c r="D288" s="19">
        <f>C288-'Derived 5Y Spreads'!G281</f>
        <v>1.5</v>
      </c>
      <c r="E288" s="19">
        <f>C288-'Derived 5Y Spreads'!G253</f>
        <v>-20.099999999999994</v>
      </c>
      <c r="F288" s="19">
        <f>C288-'Derived 5Y Spreads'!G127</f>
        <v>18.930000000000007</v>
      </c>
      <c r="G288" s="20">
        <f>'Derived 5Y Spreads'!E288</f>
      </c>
      <c r="H288" s="21" t="str">
        <f>'Derived 5Y Spreads'!O288</f>
        <v>stale</v>
      </c>
      <c r="I288" s="22" t="str">
        <f>'Derived 5Y Spreads'!A288</f>
        <v>screenshot-reference-20260824-v1</v>
      </c>
      <c r="J288" s="22" t="str">
        <f>'Derived 5Y Spreads'!D288</f>
        <v>SCREENSHOT.ORCLE.5Y</v>
      </c>
      <c r="K288" s="5"/>
    </row>
    <row r="289" spans="1:11" x14ac:dyDescent="0.25">
      <c r="A289" s="7">
        <v>46241</v>
      </c>
      <c r="B289" s="6" t="s">
        <v>14</v>
      </c>
      <c r="C289" s="23">
        <f>'Derived 5Y Spreads'!G289</f>
        <v>722.5</v>
      </c>
      <c r="D289" s="24">
        <f>C289-'Derived 5Y Spreads'!G282</f>
        <v>12.5</v>
      </c>
      <c r="E289" s="24">
        <f>C289-'Derived 5Y Spreads'!G254</f>
        <v>-195</v>
      </c>
      <c r="F289" s="24">
        <f>C289-'Derived 5Y Spreads'!G128</f>
        <v>125</v>
      </c>
      <c r="G289" s="25">
        <f>'Derived 5Y Spreads'!E289</f>
      </c>
      <c r="H289" s="21" t="str">
        <f>'Derived 5Y Spreads'!O289</f>
        <v>stale</v>
      </c>
      <c r="I289" s="26" t="str">
        <f>'Derived 5Y Spreads'!A289</f>
        <v>screenshot-reference-20260824-v1</v>
      </c>
      <c r="J289" s="26" t="str">
        <f>'Derived 5Y Spreads'!D289</f>
        <v>SCREENSHOT.COREWEI.5Y</v>
      </c>
      <c r="K289" s="9"/>
    </row>
    <row r="290" spans="1:11" x14ac:dyDescent="0.25">
      <c r="A290" s="3">
        <v>46241</v>
      </c>
      <c r="B290" s="2" t="s">
        <v>17</v>
      </c>
      <c r="C290" s="18">
        <f>'Derived 5Y Spreads'!G290</f>
        <v>70</v>
      </c>
      <c r="D290" s="19">
        <f>C290-'Derived 5Y Spreads'!G283</f>
        <v>2</v>
      </c>
      <c r="E290" s="19">
        <f>C290-'Derived 5Y Spreads'!G255</f>
        <v>-10</v>
      </c>
      <c r="F290" s="19">
        <f>C290-'Derived 5Y Spreads'!G129</f>
        <v>24.89</v>
      </c>
      <c r="G290" s="20">
        <f>'Derived 5Y Spreads'!E290</f>
      </c>
      <c r="H290" s="21" t="str">
        <f>'Derived 5Y Spreads'!O290</f>
        <v>stale</v>
      </c>
      <c r="I290" s="22" t="str">
        <f>'Derived 5Y Spreads'!A290</f>
        <v>screenshot-reference-20260824-v1</v>
      </c>
      <c r="J290" s="22" t="str">
        <f>'Derived 5Y Spreads'!D290</f>
        <v>SCREENSHOT.NVIDIA.5Y</v>
      </c>
      <c r="K290" s="5"/>
    </row>
    <row r="291" spans="1:11" x14ac:dyDescent="0.25">
      <c r="A291" s="7">
        <v>46241</v>
      </c>
      <c r="B291" s="6" t="s">
        <v>20</v>
      </c>
      <c r="C291" s="23">
        <f>'Derived 5Y Spreads'!G291</f>
        <v>55</v>
      </c>
      <c r="D291" s="24">
        <f>C291-'Derived 5Y Spreads'!G284</f>
        <v>-0.5</v>
      </c>
      <c r="E291" s="24">
        <f>C291-'Derived 5Y Spreads'!G256</f>
        <v>-11</v>
      </c>
      <c r="F291" s="24">
        <f>C291-'Derived 5Y Spreads'!G130</f>
        <v>1</v>
      </c>
      <c r="G291" s="25">
        <f>'Derived 5Y Spreads'!E291</f>
      </c>
      <c r="H291" s="21" t="str">
        <f>'Derived 5Y Spreads'!O291</f>
        <v>stale</v>
      </c>
      <c r="I291" s="26" t="str">
        <f>'Derived 5Y Spreads'!A291</f>
        <v>screenshot-reference-20260824-v1</v>
      </c>
      <c r="J291" s="26" t="str">
        <f>'Derived 5Y Spreads'!D291</f>
        <v>SCREENSHOT.AMZN.5Y</v>
      </c>
      <c r="K291" s="9"/>
    </row>
    <row r="292" spans="1:11" x14ac:dyDescent="0.25">
      <c r="A292" s="3">
        <v>46241</v>
      </c>
      <c r="B292" s="2" t="s">
        <v>23</v>
      </c>
      <c r="C292" s="18">
        <f>'Derived 5Y Spreads'!G292</f>
        <v>55</v>
      </c>
      <c r="D292" s="19">
        <f>C292-'Derived 5Y Spreads'!G285</f>
        <v>-0.25</v>
      </c>
      <c r="E292" s="19">
        <f>C292-'Derived 5Y Spreads'!G257</f>
        <v>-7.600000000000001</v>
      </c>
      <c r="F292" s="19">
        <f>C292-'Derived 5Y Spreads'!G131</f>
        <v>1</v>
      </c>
      <c r="G292" s="20">
        <f>'Derived 5Y Spreads'!E292</f>
      </c>
      <c r="H292" s="21" t="str">
        <f>'Derived 5Y Spreads'!O292</f>
        <v>stale</v>
      </c>
      <c r="I292" s="22" t="str">
        <f>'Derived 5Y Spreads'!A292</f>
        <v>screenshot-reference-20260824-v1</v>
      </c>
      <c r="J292" s="22" t="str">
        <f>'Derived 5Y Spreads'!D292</f>
        <v>SCREENSHOT.ALPHINC.5Y</v>
      </c>
      <c r="K292" s="5"/>
    </row>
    <row r="293" spans="1:11" x14ac:dyDescent="0.25">
      <c r="A293" s="7">
        <v>46241</v>
      </c>
      <c r="B293" s="6" t="s">
        <v>26</v>
      </c>
      <c r="C293" s="23">
        <f>'Derived 5Y Spreads'!G293</f>
        <v>46</v>
      </c>
      <c r="D293" s="24">
        <f>C293-'Derived 5Y Spreads'!G286</f>
        <v>-0.25</v>
      </c>
      <c r="E293" s="24">
        <f>C293-'Derived 5Y Spreads'!G258</f>
        <v>-7</v>
      </c>
      <c r="F293" s="24">
        <f>C293-'Derived 5Y Spreads'!G132</f>
        <v>4</v>
      </c>
      <c r="G293" s="25">
        <f>'Derived 5Y Spreads'!E293</f>
      </c>
      <c r="H293" s="21" t="str">
        <f>'Derived 5Y Spreads'!O293</f>
        <v>stale</v>
      </c>
      <c r="I293" s="26" t="str">
        <f>'Derived 5Y Spreads'!A293</f>
        <v>screenshot-reference-20260824-v1</v>
      </c>
      <c r="J293" s="26" t="str">
        <f>'Derived 5Y Spreads'!D293</f>
        <v>SCREENSHOT.MSFT.5Y</v>
      </c>
      <c r="K293" s="9"/>
    </row>
    <row r="294" spans="1:11" x14ac:dyDescent="0.25">
      <c r="A294" s="3">
        <v>46241</v>
      </c>
      <c r="B294" s="2" t="s">
        <v>29</v>
      </c>
      <c r="C294" s="18">
        <f>'Derived 5Y Spreads'!G294</f>
        <v>84.71</v>
      </c>
      <c r="D294" s="19">
        <f>C294-'Derived 5Y Spreads'!G287</f>
        <v>0.4199999999999875</v>
      </c>
      <c r="E294" s="19">
        <f>C294-'Derived 5Y Spreads'!G259</f>
        <v>-9.540000000000006</v>
      </c>
      <c r="F294" s="19">
        <f>C294-'Derived 5Y Spreads'!G133</f>
        <v>14.279999999999987</v>
      </c>
      <c r="G294" s="20">
        <f>'Derived 5Y Spreads'!E294</f>
      </c>
      <c r="H294" s="21" t="str">
        <f>'Derived 5Y Spreads'!O294</f>
        <v>stale</v>
      </c>
      <c r="I294" s="22" t="str">
        <f>'Derived 5Y Spreads'!A294</f>
        <v>screenshot-reference-20260824-v1</v>
      </c>
      <c r="J294" s="22" t="str">
        <f>'Derived 5Y Spreads'!D294</f>
        <v>SCREENSHOT.METAPL.5Y</v>
      </c>
      <c r="K294" s="5"/>
    </row>
    <row r="295" spans="1:11" x14ac:dyDescent="0.25">
      <c r="A295" s="7">
        <v>46244</v>
      </c>
      <c r="B295" s="6" t="s">
        <v>9</v>
      </c>
      <c r="C295" s="23">
        <f>'Derived 5Y Spreads'!G295</f>
        <v>195</v>
      </c>
      <c r="D295" s="24">
        <f>C295-'Derived 5Y Spreads'!G288</f>
        <v>4.5</v>
      </c>
      <c r="E295" s="24">
        <f>C295-'Derived 5Y Spreads'!G260</f>
        <v>-6</v>
      </c>
      <c r="F295" s="24">
        <f>C295-'Derived 5Y Spreads'!G148</f>
        <v>15.710000000000008</v>
      </c>
      <c r="G295" s="25">
        <f>'Derived 5Y Spreads'!E295</f>
      </c>
      <c r="H295" s="21" t="str">
        <f>'Derived 5Y Spreads'!O295</f>
        <v>stale</v>
      </c>
      <c r="I295" s="26" t="str">
        <f>'Derived 5Y Spreads'!A295</f>
        <v>screenshot-reference-20260824-v1</v>
      </c>
      <c r="J295" s="26" t="str">
        <f>'Derived 5Y Spreads'!D295</f>
        <v>SCREENSHOT.ORCLE.5Y</v>
      </c>
      <c r="K295" s="9"/>
    </row>
    <row r="296" spans="1:11" x14ac:dyDescent="0.25">
      <c r="A296" s="3">
        <v>46244</v>
      </c>
      <c r="B296" s="2" t="s">
        <v>14</v>
      </c>
      <c r="C296" s="18">
        <f>'Derived 5Y Spreads'!G296</f>
        <v>760</v>
      </c>
      <c r="D296" s="19">
        <f>C296-'Derived 5Y Spreads'!G289</f>
        <v>37.5</v>
      </c>
      <c r="E296" s="19">
        <f>C296-'Derived 5Y Spreads'!G261</f>
        <v>-60</v>
      </c>
      <c r="F296" s="19">
        <f>C296-'Derived 5Y Spreads'!G149</f>
        <v>185</v>
      </c>
      <c r="G296" s="20">
        <f>'Derived 5Y Spreads'!E296</f>
      </c>
      <c r="H296" s="21" t="str">
        <f>'Derived 5Y Spreads'!O296</f>
        <v>stale</v>
      </c>
      <c r="I296" s="22" t="str">
        <f>'Derived 5Y Spreads'!A296</f>
        <v>screenshot-reference-20260824-v1</v>
      </c>
      <c r="J296" s="22" t="str">
        <f>'Derived 5Y Spreads'!D296</f>
        <v>SCREENSHOT.COREWEI.5Y</v>
      </c>
      <c r="K296" s="5"/>
    </row>
    <row r="297" spans="1:11" x14ac:dyDescent="0.25">
      <c r="A297" s="7">
        <v>46244</v>
      </c>
      <c r="B297" s="6" t="s">
        <v>17</v>
      </c>
      <c r="C297" s="23">
        <f>'Derived 5Y Spreads'!G297</f>
        <v>76</v>
      </c>
      <c r="D297" s="24">
        <f>C297-'Derived 5Y Spreads'!G290</f>
        <v>6</v>
      </c>
      <c r="E297" s="24">
        <f>C297-'Derived 5Y Spreads'!G262</f>
        <v>2</v>
      </c>
      <c r="F297" s="24">
        <f>C297-'Derived 5Y Spreads'!G150</f>
        <v>27</v>
      </c>
      <c r="G297" s="25">
        <f>'Derived 5Y Spreads'!E297</f>
      </c>
      <c r="H297" s="21" t="str">
        <f>'Derived 5Y Spreads'!O297</f>
        <v>stale</v>
      </c>
      <c r="I297" s="26" t="str">
        <f>'Derived 5Y Spreads'!A297</f>
        <v>screenshot-reference-20260824-v1</v>
      </c>
      <c r="J297" s="26" t="str">
        <f>'Derived 5Y Spreads'!D297</f>
        <v>SCREENSHOT.NVIDIA.5Y</v>
      </c>
      <c r="K297" s="9"/>
    </row>
    <row r="298" spans="1:11" x14ac:dyDescent="0.25">
      <c r="A298" s="3">
        <v>46244</v>
      </c>
      <c r="B298" s="2" t="s">
        <v>20</v>
      </c>
      <c r="C298" s="18">
        <f>'Derived 5Y Spreads'!G298</f>
        <v>57</v>
      </c>
      <c r="D298" s="19">
        <f>C298-'Derived 5Y Spreads'!G291</f>
        <v>2</v>
      </c>
      <c r="E298" s="19">
        <f>C298-'Derived 5Y Spreads'!G263</f>
        <v>0</v>
      </c>
      <c r="F298" s="19">
        <f>C298-'Derived 5Y Spreads'!G151</f>
        <v>0</v>
      </c>
      <c r="G298" s="20">
        <f>'Derived 5Y Spreads'!E298</f>
      </c>
      <c r="H298" s="21" t="str">
        <f>'Derived 5Y Spreads'!O298</f>
        <v>stale</v>
      </c>
      <c r="I298" s="22" t="str">
        <f>'Derived 5Y Spreads'!A298</f>
        <v>screenshot-reference-20260824-v1</v>
      </c>
      <c r="J298" s="22" t="str">
        <f>'Derived 5Y Spreads'!D298</f>
        <v>SCREENSHOT.AMZN.5Y</v>
      </c>
      <c r="K298" s="5"/>
    </row>
    <row r="299" spans="1:11" x14ac:dyDescent="0.25">
      <c r="A299" s="7">
        <v>46244</v>
      </c>
      <c r="B299" s="6" t="s">
        <v>23</v>
      </c>
      <c r="C299" s="23">
        <f>'Derived 5Y Spreads'!G299</f>
        <v>53</v>
      </c>
      <c r="D299" s="24">
        <f>C299-'Derived 5Y Spreads'!G292</f>
        <v>-2</v>
      </c>
      <c r="E299" s="24">
        <f>C299-'Derived 5Y Spreads'!G264</f>
        <v>-3</v>
      </c>
      <c r="F299" s="24">
        <f>C299-'Derived 5Y Spreads'!G152</f>
        <v>-4</v>
      </c>
      <c r="G299" s="25">
        <f>'Derived 5Y Spreads'!E299</f>
      </c>
      <c r="H299" s="21" t="str">
        <f>'Derived 5Y Spreads'!O299</f>
        <v>stale</v>
      </c>
      <c r="I299" s="26" t="str">
        <f>'Derived 5Y Spreads'!A299</f>
        <v>screenshot-reference-20260824-v1</v>
      </c>
      <c r="J299" s="26" t="str">
        <f>'Derived 5Y Spreads'!D299</f>
        <v>SCREENSHOT.ALPHINC.5Y</v>
      </c>
      <c r="K299" s="9"/>
    </row>
    <row r="300" spans="1:11" x14ac:dyDescent="0.25">
      <c r="A300" s="3">
        <v>46244</v>
      </c>
      <c r="B300" s="2" t="s">
        <v>26</v>
      </c>
      <c r="C300" s="18">
        <f>'Derived 5Y Spreads'!G300</f>
        <v>43.5</v>
      </c>
      <c r="D300" s="19">
        <f>C300-'Derived 5Y Spreads'!G293</f>
        <v>-2.5</v>
      </c>
      <c r="E300" s="19">
        <f>C300-'Derived 5Y Spreads'!G265</f>
        <v>-3.5</v>
      </c>
      <c r="F300" s="19">
        <f>C300-'Derived 5Y Spreads'!G153</f>
        <v>-1.5</v>
      </c>
      <c r="G300" s="20">
        <f>'Derived 5Y Spreads'!E300</f>
      </c>
      <c r="H300" s="21" t="str">
        <f>'Derived 5Y Spreads'!O300</f>
        <v>stale</v>
      </c>
      <c r="I300" s="22" t="str">
        <f>'Derived 5Y Spreads'!A300</f>
        <v>screenshot-reference-20260824-v1</v>
      </c>
      <c r="J300" s="22" t="str">
        <f>'Derived 5Y Spreads'!D300</f>
        <v>SCREENSHOT.MSFT.5Y</v>
      </c>
      <c r="K300" s="5"/>
    </row>
    <row r="301" spans="1:11" x14ac:dyDescent="0.25">
      <c r="A301" s="7">
        <v>46244</v>
      </c>
      <c r="B301" s="6" t="s">
        <v>29</v>
      </c>
      <c r="C301" s="23">
        <f>'Derived 5Y Spreads'!G301</f>
        <v>86</v>
      </c>
      <c r="D301" s="24">
        <f>C301-'Derived 5Y Spreads'!G294</f>
        <v>1.2900000000000063</v>
      </c>
      <c r="E301" s="24">
        <f>C301-'Derived 5Y Spreads'!G266</f>
        <v>3</v>
      </c>
      <c r="F301" s="24">
        <f>C301-'Derived 5Y Spreads'!G154</f>
        <v>11.290000000000006</v>
      </c>
      <c r="G301" s="25">
        <f>'Derived 5Y Spreads'!E301</f>
      </c>
      <c r="H301" s="21" t="str">
        <f>'Derived 5Y Spreads'!O301</f>
        <v>stale</v>
      </c>
      <c r="I301" s="26" t="str">
        <f>'Derived 5Y Spreads'!A301</f>
        <v>screenshot-reference-20260824-v1</v>
      </c>
      <c r="J301" s="26" t="str">
        <f>'Derived 5Y Spreads'!D301</f>
        <v>SCREENSHOT.METAPL.5Y</v>
      </c>
      <c r="K301" s="9"/>
    </row>
    <row r="302" spans="1:11" x14ac:dyDescent="0.25">
      <c r="A302" s="3">
        <v>46245</v>
      </c>
      <c r="B302" s="2" t="s">
        <v>9</v>
      </c>
      <c r="C302" s="18">
        <f>'Derived 5Y Spreads'!G302</f>
        <v>196.33</v>
      </c>
      <c r="D302" s="19">
        <f>C302-'Derived 5Y Spreads'!G295</f>
        <v>1.3300000000000125</v>
      </c>
      <c r="E302" s="19">
        <f>C302-'Derived 5Y Spreads'!G267</f>
        <v>-0.6699999999999875</v>
      </c>
      <c r="F302" s="19">
        <f>C302-'Derived 5Y Spreads'!G148</f>
        <v>17.04000000000002</v>
      </c>
      <c r="G302" s="20">
        <f>'Derived 5Y Spreads'!E302</f>
      </c>
      <c r="H302" s="21" t="str">
        <f>'Derived 5Y Spreads'!O302</f>
        <v>stale</v>
      </c>
      <c r="I302" s="22" t="str">
        <f>'Derived 5Y Spreads'!A302</f>
        <v>screenshot-reference-20260824-v1</v>
      </c>
      <c r="J302" s="22" t="str">
        <f>'Derived 5Y Spreads'!D302</f>
        <v>SCREENSHOT.ORCLE.5Y</v>
      </c>
      <c r="K302" s="5"/>
    </row>
    <row r="303" spans="1:11" x14ac:dyDescent="0.25">
      <c r="A303" s="7">
        <v>46245</v>
      </c>
      <c r="B303" s="6" t="s">
        <v>14</v>
      </c>
      <c r="C303" s="23">
        <f>'Derived 5Y Spreads'!G303</f>
        <v>755</v>
      </c>
      <c r="D303" s="24">
        <f>C303-'Derived 5Y Spreads'!G296</f>
        <v>-5</v>
      </c>
      <c r="E303" s="24">
        <f>C303-'Derived 5Y Spreads'!G268</f>
        <v>-28.33000000000004</v>
      </c>
      <c r="F303" s="24">
        <f>C303-'Derived 5Y Spreads'!G149</f>
        <v>180</v>
      </c>
      <c r="G303" s="25">
        <f>'Derived 5Y Spreads'!E303</f>
      </c>
      <c r="H303" s="21" t="str">
        <f>'Derived 5Y Spreads'!O303</f>
        <v>stale</v>
      </c>
      <c r="I303" s="26" t="str">
        <f>'Derived 5Y Spreads'!A303</f>
        <v>screenshot-reference-20260824-v1</v>
      </c>
      <c r="J303" s="26" t="str">
        <f>'Derived 5Y Spreads'!D303</f>
        <v>SCREENSHOT.COREWEI.5Y</v>
      </c>
      <c r="K303" s="9"/>
    </row>
    <row r="304" spans="1:11" x14ac:dyDescent="0.25">
      <c r="A304" s="3">
        <v>46245</v>
      </c>
      <c r="B304" s="2" t="s">
        <v>17</v>
      </c>
      <c r="C304" s="18">
        <f>'Derived 5Y Spreads'!G304</f>
        <v>74.67</v>
      </c>
      <c r="D304" s="19">
        <f>C304-'Derived 5Y Spreads'!G297</f>
        <v>-1.3299999999999983</v>
      </c>
      <c r="E304" s="19">
        <f>C304-'Derived 5Y Spreads'!G269</f>
        <v>2.6700000000000017</v>
      </c>
      <c r="F304" s="19">
        <f>C304-'Derived 5Y Spreads'!G150</f>
        <v>25.67</v>
      </c>
      <c r="G304" s="20">
        <f>'Derived 5Y Spreads'!E304</f>
      </c>
      <c r="H304" s="21" t="str">
        <f>'Derived 5Y Spreads'!O304</f>
        <v>stale</v>
      </c>
      <c r="I304" s="22" t="str">
        <f>'Derived 5Y Spreads'!A304</f>
        <v>screenshot-reference-20260824-v1</v>
      </c>
      <c r="J304" s="22" t="str">
        <f>'Derived 5Y Spreads'!D304</f>
        <v>SCREENSHOT.NVIDIA.5Y</v>
      </c>
      <c r="K304" s="5"/>
    </row>
    <row r="305" spans="1:11" x14ac:dyDescent="0.25">
      <c r="A305" s="7">
        <v>46245</v>
      </c>
      <c r="B305" s="6" t="s">
        <v>20</v>
      </c>
      <c r="C305" s="23">
        <f>'Derived 5Y Spreads'!G305</f>
        <v>56</v>
      </c>
      <c r="D305" s="24">
        <f>C305-'Derived 5Y Spreads'!G298</f>
        <v>-1</v>
      </c>
      <c r="E305" s="24">
        <f>C305-'Derived 5Y Spreads'!G270</f>
        <v>-0.5</v>
      </c>
      <c r="F305" s="24">
        <f>C305-'Derived 5Y Spreads'!G151</f>
        <v>-1</v>
      </c>
      <c r="G305" s="25">
        <f>'Derived 5Y Spreads'!E305</f>
      </c>
      <c r="H305" s="21" t="str">
        <f>'Derived 5Y Spreads'!O305</f>
        <v>stale</v>
      </c>
      <c r="I305" s="26" t="str">
        <f>'Derived 5Y Spreads'!A305</f>
        <v>screenshot-reference-20260824-v1</v>
      </c>
      <c r="J305" s="26" t="str">
        <f>'Derived 5Y Spreads'!D305</f>
        <v>SCREENSHOT.AMZN.5Y</v>
      </c>
      <c r="K305" s="9"/>
    </row>
    <row r="306" spans="1:11" x14ac:dyDescent="0.25">
      <c r="A306" s="3">
        <v>46245</v>
      </c>
      <c r="B306" s="2" t="s">
        <v>23</v>
      </c>
      <c r="C306" s="18">
        <f>'Derived 5Y Spreads'!G306</f>
        <v>52.33</v>
      </c>
      <c r="D306" s="19">
        <f>C306-'Derived 5Y Spreads'!G299</f>
        <v>-0.6700000000000017</v>
      </c>
      <c r="E306" s="19">
        <f>C306-'Derived 5Y Spreads'!G271</f>
        <v>-3.4200000000000017</v>
      </c>
      <c r="F306" s="19">
        <f>C306-'Derived 5Y Spreads'!G152</f>
        <v>-4.670000000000002</v>
      </c>
      <c r="G306" s="20">
        <f>'Derived 5Y Spreads'!E306</f>
      </c>
      <c r="H306" s="21" t="str">
        <f>'Derived 5Y Spreads'!O306</f>
        <v>stale</v>
      </c>
      <c r="I306" s="22" t="str">
        <f>'Derived 5Y Spreads'!A306</f>
        <v>screenshot-reference-20260824-v1</v>
      </c>
      <c r="J306" s="22" t="str">
        <f>'Derived 5Y Spreads'!D306</f>
        <v>SCREENSHOT.ALPHINC.5Y</v>
      </c>
      <c r="K306" s="5"/>
    </row>
    <row r="307" spans="1:11" x14ac:dyDescent="0.25">
      <c r="A307" s="7">
        <v>46245</v>
      </c>
      <c r="B307" s="6" t="s">
        <v>26</v>
      </c>
      <c r="C307" s="23">
        <f>'Derived 5Y Spreads'!G307</f>
        <v>42.67</v>
      </c>
      <c r="D307" s="24">
        <f>C307-'Derived 5Y Spreads'!G300</f>
        <v>-0.8299999999999983</v>
      </c>
      <c r="E307" s="24">
        <f>C307-'Derived 5Y Spreads'!G272</f>
        <v>-4.079999999999998</v>
      </c>
      <c r="F307" s="24">
        <f>C307-'Derived 5Y Spreads'!G153</f>
        <v>-2.3299999999999983</v>
      </c>
      <c r="G307" s="25">
        <f>'Derived 5Y Spreads'!E307</f>
      </c>
      <c r="H307" s="21" t="str">
        <f>'Derived 5Y Spreads'!O307</f>
        <v>stale</v>
      </c>
      <c r="I307" s="26" t="str">
        <f>'Derived 5Y Spreads'!A307</f>
        <v>screenshot-reference-20260824-v1</v>
      </c>
      <c r="J307" s="26" t="str">
        <f>'Derived 5Y Spreads'!D307</f>
        <v>SCREENSHOT.MSFT.5Y</v>
      </c>
      <c r="K307" s="9"/>
    </row>
    <row r="308" spans="1:11" x14ac:dyDescent="0.25">
      <c r="A308" s="3">
        <v>46245</v>
      </c>
      <c r="B308" s="2" t="s">
        <v>29</v>
      </c>
      <c r="C308" s="18">
        <f>'Derived 5Y Spreads'!G308</f>
        <v>84.5</v>
      </c>
      <c r="D308" s="19">
        <f>C308-'Derived 5Y Spreads'!G301</f>
        <v>-1.5</v>
      </c>
      <c r="E308" s="19">
        <f>C308-'Derived 5Y Spreads'!G273</f>
        <v>1.0699999999999932</v>
      </c>
      <c r="F308" s="19">
        <f>C308-'Derived 5Y Spreads'!G154</f>
        <v>9.790000000000006</v>
      </c>
      <c r="G308" s="20">
        <f>'Derived 5Y Spreads'!E308</f>
      </c>
      <c r="H308" s="21" t="str">
        <f>'Derived 5Y Spreads'!O308</f>
        <v>stale</v>
      </c>
      <c r="I308" s="22" t="str">
        <f>'Derived 5Y Spreads'!A308</f>
        <v>screenshot-reference-20260824-v1</v>
      </c>
      <c r="J308" s="22" t="str">
        <f>'Derived 5Y Spreads'!D308</f>
        <v>SCREENSHOT.METAPL.5Y</v>
      </c>
      <c r="K308" s="5"/>
    </row>
    <row r="309" spans="1:11" x14ac:dyDescent="0.25">
      <c r="A309" s="7">
        <v>46246</v>
      </c>
      <c r="B309" s="6" t="s">
        <v>9</v>
      </c>
      <c r="C309" s="23">
        <f>'Derived 5Y Spreads'!G309</f>
        <v>197.67</v>
      </c>
      <c r="D309" s="24">
        <f>C309-'Derived 5Y Spreads'!G302</f>
        <v>1.339999999999975</v>
      </c>
      <c r="E309" s="24">
        <f>C309-'Derived 5Y Spreads'!G274</f>
        <v>4.6699999999999875</v>
      </c>
      <c r="F309" s="24">
        <f>C309-'Derived 5Y Spreads'!G148</f>
        <v>18.379999999999995</v>
      </c>
      <c r="G309" s="25">
        <f>'Derived 5Y Spreads'!E309</f>
      </c>
      <c r="H309" s="21" t="str">
        <f>'Derived 5Y Spreads'!O309</f>
        <v>stale</v>
      </c>
      <c r="I309" s="26" t="str">
        <f>'Derived 5Y Spreads'!A309</f>
        <v>screenshot-reference-20260824-v1</v>
      </c>
      <c r="J309" s="26" t="str">
        <f>'Derived 5Y Spreads'!D309</f>
        <v>SCREENSHOT.ORCLE.5Y</v>
      </c>
      <c r="K309" s="9"/>
    </row>
    <row r="310" spans="1:11" x14ac:dyDescent="0.25">
      <c r="A310" s="3">
        <v>46246</v>
      </c>
      <c r="B310" s="2" t="s">
        <v>14</v>
      </c>
      <c r="C310" s="18">
        <f>'Derived 5Y Spreads'!G310</f>
        <v>750</v>
      </c>
      <c r="D310" s="19">
        <f>C310-'Derived 5Y Spreads'!G303</f>
        <v>-5</v>
      </c>
      <c r="E310" s="19">
        <f>C310-'Derived 5Y Spreads'!G275</f>
        <v>3.330000000000041</v>
      </c>
      <c r="F310" s="19">
        <f>C310-'Derived 5Y Spreads'!G149</f>
        <v>175</v>
      </c>
      <c r="G310" s="20">
        <f>'Derived 5Y Spreads'!E310</f>
      </c>
      <c r="H310" s="21" t="str">
        <f>'Derived 5Y Spreads'!O310</f>
        <v>stale</v>
      </c>
      <c r="I310" s="22" t="str">
        <f>'Derived 5Y Spreads'!A310</f>
        <v>screenshot-reference-20260824-v1</v>
      </c>
      <c r="J310" s="22" t="str">
        <f>'Derived 5Y Spreads'!D310</f>
        <v>SCREENSHOT.COREWEI.5Y</v>
      </c>
      <c r="K310" s="5"/>
    </row>
    <row r="311" spans="1:11" x14ac:dyDescent="0.25">
      <c r="A311" s="7">
        <v>46246</v>
      </c>
      <c r="B311" s="6" t="s">
        <v>17</v>
      </c>
      <c r="C311" s="23">
        <f>'Derived 5Y Spreads'!G311</f>
        <v>73.33</v>
      </c>
      <c r="D311" s="24">
        <f>C311-'Derived 5Y Spreads'!G304</f>
        <v>-1.3400000000000034</v>
      </c>
      <c r="E311" s="24">
        <f>C311-'Derived 5Y Spreads'!G276</f>
        <v>3.3299999999999983</v>
      </c>
      <c r="F311" s="24">
        <f>C311-'Derived 5Y Spreads'!G150</f>
        <v>24.33</v>
      </c>
      <c r="G311" s="25">
        <f>'Derived 5Y Spreads'!E311</f>
      </c>
      <c r="H311" s="21" t="str">
        <f>'Derived 5Y Spreads'!O311</f>
        <v>stale</v>
      </c>
      <c r="I311" s="26" t="str">
        <f>'Derived 5Y Spreads'!A311</f>
        <v>screenshot-reference-20260824-v1</v>
      </c>
      <c r="J311" s="26" t="str">
        <f>'Derived 5Y Spreads'!D311</f>
        <v>SCREENSHOT.NVIDIA.5Y</v>
      </c>
      <c r="K311" s="9"/>
    </row>
    <row r="312" spans="1:11" x14ac:dyDescent="0.25">
      <c r="A312" s="3">
        <v>46246</v>
      </c>
      <c r="B312" s="2" t="s">
        <v>20</v>
      </c>
      <c r="C312" s="18">
        <f>'Derived 5Y Spreads'!G312</f>
        <v>55</v>
      </c>
      <c r="D312" s="19">
        <f>C312-'Derived 5Y Spreads'!G305</f>
        <v>-1</v>
      </c>
      <c r="E312" s="19">
        <f>C312-'Derived 5Y Spreads'!G277</f>
        <v>-1</v>
      </c>
      <c r="F312" s="19">
        <f>C312-'Derived 5Y Spreads'!G151</f>
        <v>-2</v>
      </c>
      <c r="G312" s="20">
        <f>'Derived 5Y Spreads'!E312</f>
      </c>
      <c r="H312" s="21" t="str">
        <f>'Derived 5Y Spreads'!O312</f>
        <v>stale</v>
      </c>
      <c r="I312" s="22" t="str">
        <f>'Derived 5Y Spreads'!A312</f>
        <v>screenshot-reference-20260824-v1</v>
      </c>
      <c r="J312" s="22" t="str">
        <f>'Derived 5Y Spreads'!D312</f>
        <v>SCREENSHOT.AMZN.5Y</v>
      </c>
      <c r="K312" s="5"/>
    </row>
    <row r="313" spans="1:11" x14ac:dyDescent="0.25">
      <c r="A313" s="7">
        <v>46246</v>
      </c>
      <c r="B313" s="6" t="s">
        <v>23</v>
      </c>
      <c r="C313" s="23">
        <f>'Derived 5Y Spreads'!G313</f>
        <v>51.67</v>
      </c>
      <c r="D313" s="24">
        <f>C313-'Derived 5Y Spreads'!G306</f>
        <v>-0.6599999999999966</v>
      </c>
      <c r="E313" s="24">
        <f>C313-'Derived 5Y Spreads'!G278</f>
        <v>-3.8299999999999983</v>
      </c>
      <c r="F313" s="24">
        <f>C313-'Derived 5Y Spreads'!G152</f>
        <v>-5.329999999999998</v>
      </c>
      <c r="G313" s="25">
        <f>'Derived 5Y Spreads'!E313</f>
      </c>
      <c r="H313" s="21" t="str">
        <f>'Derived 5Y Spreads'!O313</f>
        <v>stale</v>
      </c>
      <c r="I313" s="26" t="str">
        <f>'Derived 5Y Spreads'!A313</f>
        <v>screenshot-reference-20260824-v1</v>
      </c>
      <c r="J313" s="26" t="str">
        <f>'Derived 5Y Spreads'!D313</f>
        <v>SCREENSHOT.ALPHINC.5Y</v>
      </c>
      <c r="K313" s="9"/>
    </row>
    <row r="314" spans="1:11" x14ac:dyDescent="0.25">
      <c r="A314" s="3">
        <v>46246</v>
      </c>
      <c r="B314" s="2" t="s">
        <v>26</v>
      </c>
      <c r="C314" s="18">
        <f>'Derived 5Y Spreads'!G314</f>
        <v>41.83</v>
      </c>
      <c r="D314" s="19">
        <f>C314-'Derived 5Y Spreads'!G307</f>
        <v>-0.8400000000000034</v>
      </c>
      <c r="E314" s="19">
        <f>C314-'Derived 5Y Spreads'!G279</f>
        <v>-4.670000000000002</v>
      </c>
      <c r="F314" s="19">
        <f>C314-'Derived 5Y Spreads'!G153</f>
        <v>-3.1700000000000017</v>
      </c>
      <c r="G314" s="20">
        <f>'Derived 5Y Spreads'!E314</f>
      </c>
      <c r="H314" s="21" t="str">
        <f>'Derived 5Y Spreads'!O314</f>
        <v>stale</v>
      </c>
      <c r="I314" s="22" t="str">
        <f>'Derived 5Y Spreads'!A314</f>
        <v>screenshot-reference-20260824-v1</v>
      </c>
      <c r="J314" s="22" t="str">
        <f>'Derived 5Y Spreads'!D314</f>
        <v>SCREENSHOT.MSFT.5Y</v>
      </c>
      <c r="K314" s="5"/>
    </row>
    <row r="315" spans="1:11" x14ac:dyDescent="0.25">
      <c r="A315" s="7">
        <v>46246</v>
      </c>
      <c r="B315" s="6" t="s">
        <v>29</v>
      </c>
      <c r="C315" s="23">
        <f>'Derived 5Y Spreads'!G315</f>
        <v>83</v>
      </c>
      <c r="D315" s="24">
        <f>C315-'Derived 5Y Spreads'!G308</f>
        <v>-1.5</v>
      </c>
      <c r="E315" s="24">
        <f>C315-'Derived 5Y Spreads'!G280</f>
        <v>-0.8599999999999994</v>
      </c>
      <c r="F315" s="24">
        <f>C315-'Derived 5Y Spreads'!G154</f>
        <v>8.290000000000006</v>
      </c>
      <c r="G315" s="25">
        <f>'Derived 5Y Spreads'!E315</f>
      </c>
      <c r="H315" s="21" t="str">
        <f>'Derived 5Y Spreads'!O315</f>
        <v>stale</v>
      </c>
      <c r="I315" s="26" t="str">
        <f>'Derived 5Y Spreads'!A315</f>
        <v>screenshot-reference-20260824-v1</v>
      </c>
      <c r="J315" s="26" t="str">
        <f>'Derived 5Y Spreads'!D315</f>
        <v>SCREENSHOT.METAPL.5Y</v>
      </c>
      <c r="K315" s="9"/>
    </row>
    <row r="316" spans="1:11" x14ac:dyDescent="0.25">
      <c r="A316" s="3">
        <v>46247</v>
      </c>
      <c r="B316" s="2" t="s">
        <v>9</v>
      </c>
      <c r="C316" s="18">
        <f>'Derived 5Y Spreads'!G316</f>
        <v>199</v>
      </c>
      <c r="D316" s="19">
        <f>C316-'Derived 5Y Spreads'!G309</f>
        <v>1.3300000000000125</v>
      </c>
      <c r="E316" s="19">
        <f>C316-'Derived 5Y Spreads'!G281</f>
        <v>10</v>
      </c>
      <c r="F316" s="19">
        <f>C316-'Derived 5Y Spreads'!G155</f>
        <v>12</v>
      </c>
      <c r="G316" s="20">
        <f>'Derived 5Y Spreads'!E316</f>
      </c>
      <c r="H316" s="21" t="str">
        <f>'Derived 5Y Spreads'!O316</f>
        <v>stale</v>
      </c>
      <c r="I316" s="22" t="str">
        <f>'Derived 5Y Spreads'!A316</f>
        <v>screenshot-reference-20260824-v1</v>
      </c>
      <c r="J316" s="22" t="str">
        <f>'Derived 5Y Spreads'!D316</f>
        <v>SCREENSHOT.ORCLE.5Y</v>
      </c>
      <c r="K316" s="5"/>
    </row>
    <row r="317" spans="1:11" x14ac:dyDescent="0.25">
      <c r="A317" s="7">
        <v>46247</v>
      </c>
      <c r="B317" s="6" t="s">
        <v>14</v>
      </c>
      <c r="C317" s="23">
        <f>'Derived 5Y Spreads'!G317</f>
        <v>745</v>
      </c>
      <c r="D317" s="24">
        <f>C317-'Derived 5Y Spreads'!G310</f>
        <v>-5</v>
      </c>
      <c r="E317" s="24">
        <f>C317-'Derived 5Y Spreads'!G282</f>
        <v>35</v>
      </c>
      <c r="F317" s="24">
        <f>C317-'Derived 5Y Spreads'!G156</f>
        <v>125</v>
      </c>
      <c r="G317" s="25">
        <f>'Derived 5Y Spreads'!E317</f>
      </c>
      <c r="H317" s="21" t="str">
        <f>'Derived 5Y Spreads'!O317</f>
        <v>stale</v>
      </c>
      <c r="I317" s="26" t="str">
        <f>'Derived 5Y Spreads'!A317</f>
        <v>screenshot-reference-20260824-v1</v>
      </c>
      <c r="J317" s="26" t="str">
        <f>'Derived 5Y Spreads'!D317</f>
        <v>SCREENSHOT.COREWEI.5Y</v>
      </c>
      <c r="K317" s="9"/>
    </row>
    <row r="318" spans="1:11" x14ac:dyDescent="0.25">
      <c r="A318" s="3">
        <v>46247</v>
      </c>
      <c r="B318" s="2" t="s">
        <v>17</v>
      </c>
      <c r="C318" s="18">
        <f>'Derived 5Y Spreads'!G318</f>
        <v>72</v>
      </c>
      <c r="D318" s="19">
        <f>C318-'Derived 5Y Spreads'!G311</f>
        <v>-1.3299999999999983</v>
      </c>
      <c r="E318" s="19">
        <f>C318-'Derived 5Y Spreads'!G283</f>
        <v>4</v>
      </c>
      <c r="F318" s="19">
        <f>C318-'Derived 5Y Spreads'!G157</f>
        <v>17</v>
      </c>
      <c r="G318" s="20">
        <f>'Derived 5Y Spreads'!E318</f>
      </c>
      <c r="H318" s="21" t="str">
        <f>'Derived 5Y Spreads'!O318</f>
        <v>stale</v>
      </c>
      <c r="I318" s="22" t="str">
        <f>'Derived 5Y Spreads'!A318</f>
        <v>screenshot-reference-20260824-v1</v>
      </c>
      <c r="J318" s="22" t="str">
        <f>'Derived 5Y Spreads'!D318</f>
        <v>SCREENSHOT.NVIDIA.5Y</v>
      </c>
      <c r="K318" s="5"/>
    </row>
    <row r="319" spans="1:11" x14ac:dyDescent="0.25">
      <c r="A319" s="7">
        <v>46247</v>
      </c>
      <c r="B319" s="6" t="s">
        <v>20</v>
      </c>
      <c r="C319" s="23">
        <f>'Derived 5Y Spreads'!G319</f>
        <v>54</v>
      </c>
      <c r="D319" s="24">
        <f>C319-'Derived 5Y Spreads'!G312</f>
        <v>-1</v>
      </c>
      <c r="E319" s="24">
        <f>C319-'Derived 5Y Spreads'!G284</f>
        <v>-1.5</v>
      </c>
      <c r="F319" s="24">
        <f>C319-'Derived 5Y Spreads'!G158</f>
        <v>-6</v>
      </c>
      <c r="G319" s="25">
        <f>'Derived 5Y Spreads'!E319</f>
      </c>
      <c r="H319" s="21" t="str">
        <f>'Derived 5Y Spreads'!O319</f>
        <v>stale</v>
      </c>
      <c r="I319" s="26" t="str">
        <f>'Derived 5Y Spreads'!A319</f>
        <v>screenshot-reference-20260824-v1</v>
      </c>
      <c r="J319" s="26" t="str">
        <f>'Derived 5Y Spreads'!D319</f>
        <v>SCREENSHOT.AMZN.5Y</v>
      </c>
      <c r="K319" s="9"/>
    </row>
    <row r="320" spans="1:11" x14ac:dyDescent="0.25">
      <c r="A320" s="3">
        <v>46247</v>
      </c>
      <c r="B320" s="2" t="s">
        <v>23</v>
      </c>
      <c r="C320" s="18">
        <f>'Derived 5Y Spreads'!G320</f>
        <v>51</v>
      </c>
      <c r="D320" s="19">
        <f>C320-'Derived 5Y Spreads'!G313</f>
        <v>-0.6700000000000017</v>
      </c>
      <c r="E320" s="19">
        <f>C320-'Derived 5Y Spreads'!G285</f>
        <v>-4.25</v>
      </c>
      <c r="F320" s="19">
        <f>C320-'Derived 5Y Spreads'!G159</f>
        <v>-9</v>
      </c>
      <c r="G320" s="20">
        <f>'Derived 5Y Spreads'!E320</f>
      </c>
      <c r="H320" s="21" t="str">
        <f>'Derived 5Y Spreads'!O320</f>
        <v>stale</v>
      </c>
      <c r="I320" s="22" t="str">
        <f>'Derived 5Y Spreads'!A320</f>
        <v>screenshot-reference-20260824-v1</v>
      </c>
      <c r="J320" s="22" t="str">
        <f>'Derived 5Y Spreads'!D320</f>
        <v>SCREENSHOT.ALPHINC.5Y</v>
      </c>
      <c r="K320" s="5"/>
    </row>
    <row r="321" spans="1:11" x14ac:dyDescent="0.25">
      <c r="A321" s="7">
        <v>46247</v>
      </c>
      <c r="B321" s="6" t="s">
        <v>26</v>
      </c>
      <c r="C321" s="23">
        <f>'Derived 5Y Spreads'!G321</f>
        <v>41</v>
      </c>
      <c r="D321" s="24">
        <f>C321-'Derived 5Y Spreads'!G314</f>
        <v>-0.8299999999999983</v>
      </c>
      <c r="E321" s="24">
        <f>C321-'Derived 5Y Spreads'!G286</f>
        <v>-5.25</v>
      </c>
      <c r="F321" s="24">
        <f>C321-'Derived 5Y Spreads'!G160</f>
        <v>-7</v>
      </c>
      <c r="G321" s="25">
        <f>'Derived 5Y Spreads'!E321</f>
      </c>
      <c r="H321" s="21" t="str">
        <f>'Derived 5Y Spreads'!O321</f>
        <v>stale</v>
      </c>
      <c r="I321" s="26" t="str">
        <f>'Derived 5Y Spreads'!A321</f>
        <v>screenshot-reference-20260824-v1</v>
      </c>
      <c r="J321" s="26" t="str">
        <f>'Derived 5Y Spreads'!D321</f>
        <v>SCREENSHOT.MSFT.5Y</v>
      </c>
      <c r="K321" s="9"/>
    </row>
    <row r="322" spans="1:11" x14ac:dyDescent="0.25">
      <c r="A322" s="3">
        <v>46247</v>
      </c>
      <c r="B322" s="2" t="s">
        <v>29</v>
      </c>
      <c r="C322" s="18">
        <f>'Derived 5Y Spreads'!G322</f>
        <v>81.5</v>
      </c>
      <c r="D322" s="19">
        <f>C322-'Derived 5Y Spreads'!G315</f>
        <v>-1.5</v>
      </c>
      <c r="E322" s="19">
        <f>C322-'Derived 5Y Spreads'!G287</f>
        <v>-2.7900000000000063</v>
      </c>
      <c r="F322" s="19">
        <f>C322-'Derived 5Y Spreads'!G161</f>
        <v>2.5</v>
      </c>
      <c r="G322" s="20">
        <f>'Derived 5Y Spreads'!E322</f>
      </c>
      <c r="H322" s="21" t="str">
        <f>'Derived 5Y Spreads'!O322</f>
        <v>stale</v>
      </c>
      <c r="I322" s="22" t="str">
        <f>'Derived 5Y Spreads'!A322</f>
        <v>screenshot-reference-20260824-v1</v>
      </c>
      <c r="J322" s="22" t="str">
        <f>'Derived 5Y Spreads'!D322</f>
        <v>SCREENSHOT.METAPL.5Y</v>
      </c>
      <c r="K322" s="5"/>
    </row>
    <row r="323" spans="1:11" x14ac:dyDescent="0.25">
      <c r="A323" s="7">
        <v>46248</v>
      </c>
      <c r="B323" s="6" t="s">
        <v>9</v>
      </c>
      <c r="C323" s="23">
        <f>'Derived 5Y Spreads'!G323</f>
        <v>197.25</v>
      </c>
      <c r="D323" s="24">
        <f>C323-'Derived 5Y Spreads'!G316</f>
        <v>-1.75</v>
      </c>
      <c r="E323" s="24">
        <f>C323-'Derived 5Y Spreads'!G288</f>
        <v>6.75</v>
      </c>
      <c r="F323" s="24">
        <f>C323-'Derived 5Y Spreads'!G162</f>
        <v>10.110000000000014</v>
      </c>
      <c r="G323" s="25">
        <f>'Derived 5Y Spreads'!E323</f>
      </c>
      <c r="H323" s="21" t="str">
        <f>'Derived 5Y Spreads'!O323</f>
        <v>stale</v>
      </c>
      <c r="I323" s="26" t="str">
        <f>'Derived 5Y Spreads'!A323</f>
        <v>screenshot-reference-20260824-v1</v>
      </c>
      <c r="J323" s="26" t="str">
        <f>'Derived 5Y Spreads'!D323</f>
        <v>SCREENSHOT.ORCLE.5Y</v>
      </c>
      <c r="K323" s="9"/>
    </row>
    <row r="324" spans="1:11" x14ac:dyDescent="0.25">
      <c r="A324" s="3">
        <v>46248</v>
      </c>
      <c r="B324" s="2" t="s">
        <v>14</v>
      </c>
      <c r="C324" s="18">
        <f>'Derived 5Y Spreads'!G324</f>
        <v>740</v>
      </c>
      <c r="D324" s="19">
        <f>C324-'Derived 5Y Spreads'!G317</f>
        <v>-5</v>
      </c>
      <c r="E324" s="19">
        <f>C324-'Derived 5Y Spreads'!G289</f>
        <v>17.5</v>
      </c>
      <c r="F324" s="19">
        <f>C324-'Derived 5Y Spreads'!G163</f>
        <v>105</v>
      </c>
      <c r="G324" s="20">
        <f>'Derived 5Y Spreads'!E324</f>
      </c>
      <c r="H324" s="21" t="str">
        <f>'Derived 5Y Spreads'!O324</f>
        <v>stale</v>
      </c>
      <c r="I324" s="22" t="str">
        <f>'Derived 5Y Spreads'!A324</f>
        <v>screenshot-reference-20260824-v1</v>
      </c>
      <c r="J324" s="22" t="str">
        <f>'Derived 5Y Spreads'!D324</f>
        <v>SCREENSHOT.COREWEI.5Y</v>
      </c>
      <c r="K324" s="5"/>
    </row>
    <row r="325" spans="1:11" x14ac:dyDescent="0.25">
      <c r="A325" s="7">
        <v>46248</v>
      </c>
      <c r="B325" s="6" t="s">
        <v>17</v>
      </c>
      <c r="C325" s="23">
        <f>'Derived 5Y Spreads'!G325</f>
        <v>74.5</v>
      </c>
      <c r="D325" s="24">
        <f>C325-'Derived 5Y Spreads'!G318</f>
        <v>2.5</v>
      </c>
      <c r="E325" s="24">
        <f>C325-'Derived 5Y Spreads'!G290</f>
        <v>4.5</v>
      </c>
      <c r="F325" s="24">
        <f>C325-'Derived 5Y Spreads'!G164</f>
        <v>17.5</v>
      </c>
      <c r="G325" s="25">
        <f>'Derived 5Y Spreads'!E325</f>
      </c>
      <c r="H325" s="21" t="str">
        <f>'Derived 5Y Spreads'!O325</f>
        <v>stale</v>
      </c>
      <c r="I325" s="26" t="str">
        <f>'Derived 5Y Spreads'!A325</f>
        <v>screenshot-reference-20260824-v1</v>
      </c>
      <c r="J325" s="26" t="str">
        <f>'Derived 5Y Spreads'!D325</f>
        <v>SCREENSHOT.NVIDIA.5Y</v>
      </c>
      <c r="K325" s="9"/>
    </row>
    <row r="326" spans="1:11" x14ac:dyDescent="0.25">
      <c r="A326" s="3">
        <v>46248</v>
      </c>
      <c r="B326" s="2" t="s">
        <v>20</v>
      </c>
      <c r="C326" s="18">
        <f>'Derived 5Y Spreads'!G326</f>
        <v>53</v>
      </c>
      <c r="D326" s="19">
        <f>C326-'Derived 5Y Spreads'!G319</f>
        <v>-1</v>
      </c>
      <c r="E326" s="19">
        <f>C326-'Derived 5Y Spreads'!G291</f>
        <v>-2</v>
      </c>
      <c r="F326" s="19">
        <f>C326-'Derived 5Y Spreads'!G165</f>
        <v>-6.25</v>
      </c>
      <c r="G326" s="20">
        <f>'Derived 5Y Spreads'!E326</f>
      </c>
      <c r="H326" s="21" t="str">
        <f>'Derived 5Y Spreads'!O326</f>
        <v>stale</v>
      </c>
      <c r="I326" s="22" t="str">
        <f>'Derived 5Y Spreads'!A326</f>
        <v>screenshot-reference-20260824-v1</v>
      </c>
      <c r="J326" s="22" t="str">
        <f>'Derived 5Y Spreads'!D326</f>
        <v>SCREENSHOT.AMZN.5Y</v>
      </c>
      <c r="K326" s="5"/>
    </row>
    <row r="327" spans="1:11" x14ac:dyDescent="0.25">
      <c r="A327" s="7">
        <v>46248</v>
      </c>
      <c r="B327" s="6" t="s">
        <v>23</v>
      </c>
      <c r="C327" s="23">
        <f>'Derived 5Y Spreads'!G327</f>
        <v>52.25</v>
      </c>
      <c r="D327" s="24">
        <f>C327-'Derived 5Y Spreads'!G320</f>
        <v>1.25</v>
      </c>
      <c r="E327" s="24">
        <f>C327-'Derived 5Y Spreads'!G292</f>
        <v>-2.75</v>
      </c>
      <c r="F327" s="24">
        <f>C327-'Derived 5Y Spreads'!G166</f>
        <v>-7</v>
      </c>
      <c r="G327" s="25">
        <f>'Derived 5Y Spreads'!E327</f>
      </c>
      <c r="H327" s="21" t="str">
        <f>'Derived 5Y Spreads'!O327</f>
        <v>stale</v>
      </c>
      <c r="I327" s="26" t="str">
        <f>'Derived 5Y Spreads'!A327</f>
        <v>screenshot-reference-20260824-v1</v>
      </c>
      <c r="J327" s="26" t="str">
        <f>'Derived 5Y Spreads'!D327</f>
        <v>SCREENSHOT.ALPHINC.5Y</v>
      </c>
      <c r="K327" s="9"/>
    </row>
    <row r="328" spans="1:11" x14ac:dyDescent="0.25">
      <c r="A328" s="3">
        <v>46248</v>
      </c>
      <c r="B328" s="2" t="s">
        <v>26</v>
      </c>
      <c r="C328" s="18">
        <f>'Derived 5Y Spreads'!G328</f>
        <v>42</v>
      </c>
      <c r="D328" s="19">
        <f>C328-'Derived 5Y Spreads'!G321</f>
        <v>1</v>
      </c>
      <c r="E328" s="19">
        <f>C328-'Derived 5Y Spreads'!G293</f>
        <v>-4</v>
      </c>
      <c r="F328" s="19">
        <f>C328-'Derived 5Y Spreads'!G167</f>
        <v>-5.75</v>
      </c>
      <c r="G328" s="20">
        <f>'Derived 5Y Spreads'!E328</f>
      </c>
      <c r="H328" s="21" t="str">
        <f>'Derived 5Y Spreads'!O328</f>
        <v>stale</v>
      </c>
      <c r="I328" s="22" t="str">
        <f>'Derived 5Y Spreads'!A328</f>
        <v>screenshot-reference-20260824-v1</v>
      </c>
      <c r="J328" s="22" t="str">
        <f>'Derived 5Y Spreads'!D328</f>
        <v>SCREENSHOT.MSFT.5Y</v>
      </c>
      <c r="K328" s="5"/>
    </row>
    <row r="329" spans="1:11" x14ac:dyDescent="0.25">
      <c r="A329" s="7">
        <v>46248</v>
      </c>
      <c r="B329" s="6" t="s">
        <v>29</v>
      </c>
      <c r="C329" s="23">
        <f>'Derived 5Y Spreads'!G329</f>
        <v>80</v>
      </c>
      <c r="D329" s="24">
        <f>C329-'Derived 5Y Spreads'!G322</f>
        <v>-1.5</v>
      </c>
      <c r="E329" s="24">
        <f>C329-'Derived 5Y Spreads'!G294</f>
        <v>-4.709999999999994</v>
      </c>
      <c r="F329" s="24">
        <f>C329-'Derived 5Y Spreads'!G168</f>
        <v>1.75</v>
      </c>
      <c r="G329" s="25">
        <f>'Derived 5Y Spreads'!E329</f>
      </c>
      <c r="H329" s="21" t="str">
        <f>'Derived 5Y Spreads'!O329</f>
        <v>stale</v>
      </c>
      <c r="I329" s="26" t="str">
        <f>'Derived 5Y Spreads'!A329</f>
        <v>screenshot-reference-20260824-v1</v>
      </c>
      <c r="J329" s="26" t="str">
        <f>'Derived 5Y Spreads'!D329</f>
        <v>SCREENSHOT.METAPL.5Y</v>
      </c>
      <c r="K329" s="9"/>
    </row>
    <row r="330" spans="1:11" x14ac:dyDescent="0.25">
      <c r="A330" s="3">
        <v>46251</v>
      </c>
      <c r="B330" s="2" t="s">
        <v>9</v>
      </c>
      <c r="C330" s="18">
        <f>'Derived 5Y Spreads'!G330</f>
        <v>192</v>
      </c>
      <c r="D330" s="19">
        <f>C330-'Derived 5Y Spreads'!G323</f>
        <v>-5.25</v>
      </c>
      <c r="E330" s="19">
        <f>C330-'Derived 5Y Spreads'!G295</f>
        <v>-3</v>
      </c>
      <c r="F330" s="19">
        <f>C330-'Derived 5Y Spreads'!G183</f>
        <v>4.430000000000007</v>
      </c>
      <c r="G330" s="20">
        <f>'Derived 5Y Spreads'!E330</f>
      </c>
      <c r="H330" s="21" t="str">
        <f>'Derived 5Y Spreads'!O330</f>
        <v>stale</v>
      </c>
      <c r="I330" s="22" t="str">
        <f>'Derived 5Y Spreads'!A330</f>
        <v>screenshot-reference-20260824-v1</v>
      </c>
      <c r="J330" s="22" t="str">
        <f>'Derived 5Y Spreads'!D330</f>
        <v>SCREENSHOT.ORCLE.5Y</v>
      </c>
      <c r="K330" s="5"/>
    </row>
    <row r="331" spans="1:11" x14ac:dyDescent="0.25">
      <c r="A331" s="7">
        <v>46251</v>
      </c>
      <c r="B331" s="6" t="s">
        <v>14</v>
      </c>
      <c r="C331" s="23">
        <f>'Derived 5Y Spreads'!G331</f>
        <v>670</v>
      </c>
      <c r="D331" s="24">
        <f>C331-'Derived 5Y Spreads'!G324</f>
        <v>-70</v>
      </c>
      <c r="E331" s="24">
        <f>C331-'Derived 5Y Spreads'!G296</f>
        <v>-90</v>
      </c>
      <c r="F331" s="24">
        <f>C331-'Derived 5Y Spreads'!G184</f>
        <v>-10</v>
      </c>
      <c r="G331" s="25">
        <f>'Derived 5Y Spreads'!E331</f>
      </c>
      <c r="H331" s="21" t="str">
        <f>'Derived 5Y Spreads'!O331</f>
        <v>stale</v>
      </c>
      <c r="I331" s="26" t="str">
        <f>'Derived 5Y Spreads'!A331</f>
        <v>screenshot-reference-20260824-v1</v>
      </c>
      <c r="J331" s="26" t="str">
        <f>'Derived 5Y Spreads'!D331</f>
        <v>SCREENSHOT.COREWEI.5Y</v>
      </c>
      <c r="K331" s="9"/>
    </row>
    <row r="332" spans="1:11" x14ac:dyDescent="0.25">
      <c r="A332" s="3">
        <v>46251</v>
      </c>
      <c r="B332" s="2" t="s">
        <v>17</v>
      </c>
      <c r="C332" s="18">
        <f>'Derived 5Y Spreads'!G332</f>
        <v>82</v>
      </c>
      <c r="D332" s="19">
        <f>C332-'Derived 5Y Spreads'!G325</f>
        <v>7.5</v>
      </c>
      <c r="E332" s="19">
        <f>C332-'Derived 5Y Spreads'!G297</f>
        <v>6</v>
      </c>
      <c r="F332" s="19">
        <f>C332-'Derived 5Y Spreads'!G185</f>
        <v>24</v>
      </c>
      <c r="G332" s="20">
        <f>'Derived 5Y Spreads'!E332</f>
      </c>
      <c r="H332" s="21" t="str">
        <f>'Derived 5Y Spreads'!O332</f>
        <v>stale</v>
      </c>
      <c r="I332" s="22" t="str">
        <f>'Derived 5Y Spreads'!A332</f>
        <v>screenshot-reference-20260824-v1</v>
      </c>
      <c r="J332" s="22" t="str">
        <f>'Derived 5Y Spreads'!D332</f>
        <v>SCREENSHOT.NVIDIA.5Y</v>
      </c>
      <c r="K332" s="5"/>
    </row>
    <row r="333" spans="1:11" x14ac:dyDescent="0.25">
      <c r="A333" s="7">
        <v>46251</v>
      </c>
      <c r="B333" s="6" t="s">
        <v>20</v>
      </c>
      <c r="C333" s="23">
        <f>'Derived 5Y Spreads'!G333</f>
        <v>58.14</v>
      </c>
      <c r="D333" s="24">
        <f>C333-'Derived 5Y Spreads'!G326</f>
        <v>5.140000000000001</v>
      </c>
      <c r="E333" s="24">
        <f>C333-'Derived 5Y Spreads'!G298</f>
        <v>1.1400000000000006</v>
      </c>
      <c r="F333" s="24">
        <f>C333-'Derived 5Y Spreads'!G186</f>
        <v>1.1400000000000006</v>
      </c>
      <c r="G333" s="25">
        <f>'Derived 5Y Spreads'!E333</f>
      </c>
      <c r="H333" s="21" t="str">
        <f>'Derived 5Y Spreads'!O333</f>
        <v>stale</v>
      </c>
      <c r="I333" s="26" t="str">
        <f>'Derived 5Y Spreads'!A333</f>
        <v>screenshot-reference-20260824-v1</v>
      </c>
      <c r="J333" s="26" t="str">
        <f>'Derived 5Y Spreads'!D333</f>
        <v>SCREENSHOT.AMZN.5Y</v>
      </c>
      <c r="K333" s="9"/>
    </row>
    <row r="334" spans="1:11" x14ac:dyDescent="0.25">
      <c r="A334" s="3">
        <v>46251</v>
      </c>
      <c r="B334" s="2" t="s">
        <v>23</v>
      </c>
      <c r="C334" s="18">
        <f>'Derived 5Y Spreads'!G334</f>
        <v>56</v>
      </c>
      <c r="D334" s="19">
        <f>C334-'Derived 5Y Spreads'!G327</f>
        <v>3.75</v>
      </c>
      <c r="E334" s="19">
        <f>C334-'Derived 5Y Spreads'!G299</f>
        <v>3</v>
      </c>
      <c r="F334" s="19">
        <f>C334-'Derived 5Y Spreads'!G187</f>
        <v>-1</v>
      </c>
      <c r="G334" s="20">
        <f>'Derived 5Y Spreads'!E334</f>
      </c>
      <c r="H334" s="21" t="str">
        <f>'Derived 5Y Spreads'!O334</f>
        <v>stale</v>
      </c>
      <c r="I334" s="22" t="str">
        <f>'Derived 5Y Spreads'!A334</f>
        <v>screenshot-reference-20260824-v1</v>
      </c>
      <c r="J334" s="22" t="str">
        <f>'Derived 5Y Spreads'!D334</f>
        <v>SCREENSHOT.ALPHINC.5Y</v>
      </c>
      <c r="K334" s="5"/>
    </row>
    <row r="335" spans="1:11" x14ac:dyDescent="0.25">
      <c r="A335" s="7">
        <v>46251</v>
      </c>
      <c r="B335" s="6" t="s">
        <v>26</v>
      </c>
      <c r="C335" s="23">
        <f>'Derived 5Y Spreads'!G335</f>
        <v>45</v>
      </c>
      <c r="D335" s="24">
        <f>C335-'Derived 5Y Spreads'!G328</f>
        <v>3</v>
      </c>
      <c r="E335" s="24">
        <f>C335-'Derived 5Y Spreads'!G300</f>
        <v>1.5</v>
      </c>
      <c r="F335" s="24">
        <f>C335-'Derived 5Y Spreads'!G188</f>
        <v>-2</v>
      </c>
      <c r="G335" s="25">
        <f>'Derived 5Y Spreads'!E335</f>
      </c>
      <c r="H335" s="21" t="str">
        <f>'Derived 5Y Spreads'!O335</f>
        <v>stale</v>
      </c>
      <c r="I335" s="26" t="str">
        <f>'Derived 5Y Spreads'!A335</f>
        <v>screenshot-reference-20260824-v1</v>
      </c>
      <c r="J335" s="26" t="str">
        <f>'Derived 5Y Spreads'!D335</f>
        <v>SCREENSHOT.MSFT.5Y</v>
      </c>
      <c r="K335" s="9"/>
    </row>
    <row r="336" spans="1:11" x14ac:dyDescent="0.25">
      <c r="A336" s="3">
        <v>46251</v>
      </c>
      <c r="B336" s="2" t="s">
        <v>29</v>
      </c>
      <c r="C336" s="18">
        <f>'Derived 5Y Spreads'!G336</f>
        <v>88.25</v>
      </c>
      <c r="D336" s="19">
        <f>C336-'Derived 5Y Spreads'!G329</f>
        <v>8.25</v>
      </c>
      <c r="E336" s="19">
        <f>C336-'Derived 5Y Spreads'!G301</f>
        <v>2.25</v>
      </c>
      <c r="F336" s="19">
        <f>C336-'Derived 5Y Spreads'!G189</f>
        <v>12.25</v>
      </c>
      <c r="G336" s="20">
        <f>'Derived 5Y Spreads'!E336</f>
      </c>
      <c r="H336" s="21" t="str">
        <f>'Derived 5Y Spreads'!O336</f>
        <v>stale</v>
      </c>
      <c r="I336" s="22" t="str">
        <f>'Derived 5Y Spreads'!A336</f>
        <v>screenshot-reference-20260824-v1</v>
      </c>
      <c r="J336" s="22" t="str">
        <f>'Derived 5Y Spreads'!D336</f>
        <v>SCREENSHOT.METAPL.5Y</v>
      </c>
      <c r="K336" s="5"/>
    </row>
    <row r="337" spans="1:11" x14ac:dyDescent="0.25">
      <c r="A337" s="7">
        <v>46252</v>
      </c>
      <c r="B337" s="6" t="s">
        <v>9</v>
      </c>
      <c r="C337" s="23">
        <f>'Derived 5Y Spreads'!G337</f>
        <v>197.5</v>
      </c>
      <c r="D337" s="24">
        <f>C337-'Derived 5Y Spreads'!G330</f>
        <v>5.5</v>
      </c>
      <c r="E337" s="24">
        <f>C337-'Derived 5Y Spreads'!G302</f>
        <v>1.1699999999999875</v>
      </c>
      <c r="F337" s="24">
        <f>C337-'Derived 5Y Spreads'!G183</f>
        <v>9.930000000000007</v>
      </c>
      <c r="G337" s="25">
        <f>'Derived 5Y Spreads'!E337</f>
      </c>
      <c r="H337" s="21" t="str">
        <f>'Derived 5Y Spreads'!O337</f>
        <v>stale</v>
      </c>
      <c r="I337" s="26" t="str">
        <f>'Derived 5Y Spreads'!A337</f>
        <v>screenshot-reference-20260824-v1</v>
      </c>
      <c r="J337" s="26" t="str">
        <f>'Derived 5Y Spreads'!D337</f>
        <v>SCREENSHOT.ORCLE.5Y</v>
      </c>
      <c r="K337" s="9"/>
    </row>
    <row r="338" spans="1:11" x14ac:dyDescent="0.25">
      <c r="A338" s="3">
        <v>46252</v>
      </c>
      <c r="B338" s="2" t="s">
        <v>14</v>
      </c>
      <c r="C338" s="18">
        <f>'Derived 5Y Spreads'!G338</f>
        <v>700</v>
      </c>
      <c r="D338" s="19">
        <f>C338-'Derived 5Y Spreads'!G331</f>
        <v>30</v>
      </c>
      <c r="E338" s="19">
        <f>C338-'Derived 5Y Spreads'!G303</f>
        <v>-55</v>
      </c>
      <c r="F338" s="19">
        <f>C338-'Derived 5Y Spreads'!G184</f>
        <v>20</v>
      </c>
      <c r="G338" s="20">
        <f>'Derived 5Y Spreads'!E338</f>
      </c>
      <c r="H338" s="21" t="str">
        <f>'Derived 5Y Spreads'!O338</f>
        <v>stale</v>
      </c>
      <c r="I338" s="22" t="str">
        <f>'Derived 5Y Spreads'!A338</f>
        <v>screenshot-reference-20260824-v1</v>
      </c>
      <c r="J338" s="22" t="str">
        <f>'Derived 5Y Spreads'!D338</f>
        <v>SCREENSHOT.COREWEI.5Y</v>
      </c>
      <c r="K338" s="5"/>
    </row>
    <row r="339" spans="1:11" x14ac:dyDescent="0.25">
      <c r="A339" s="7">
        <v>46252</v>
      </c>
      <c r="B339" s="6" t="s">
        <v>17</v>
      </c>
      <c r="C339" s="23">
        <f>'Derived 5Y Spreads'!G339</f>
        <v>83.25</v>
      </c>
      <c r="D339" s="24">
        <f>C339-'Derived 5Y Spreads'!G332</f>
        <v>1.25</v>
      </c>
      <c r="E339" s="24">
        <f>C339-'Derived 5Y Spreads'!G304</f>
        <v>8.579999999999998</v>
      </c>
      <c r="F339" s="24">
        <f>C339-'Derived 5Y Spreads'!G185</f>
        <v>25.25</v>
      </c>
      <c r="G339" s="25">
        <f>'Derived 5Y Spreads'!E339</f>
      </c>
      <c r="H339" s="21" t="str">
        <f>'Derived 5Y Spreads'!O339</f>
        <v>stale</v>
      </c>
      <c r="I339" s="26" t="str">
        <f>'Derived 5Y Spreads'!A339</f>
        <v>screenshot-reference-20260824-v1</v>
      </c>
      <c r="J339" s="26" t="str">
        <f>'Derived 5Y Spreads'!D339</f>
        <v>SCREENSHOT.NVIDIA.5Y</v>
      </c>
      <c r="K339" s="9"/>
    </row>
    <row r="340" spans="1:11" x14ac:dyDescent="0.25">
      <c r="A340" s="3">
        <v>46252</v>
      </c>
      <c r="B340" s="2" t="s">
        <v>20</v>
      </c>
      <c r="C340" s="18">
        <f>'Derived 5Y Spreads'!G340</f>
        <v>59.86</v>
      </c>
      <c r="D340" s="19">
        <f>C340-'Derived 5Y Spreads'!G333</f>
        <v>1.7199999999999989</v>
      </c>
      <c r="E340" s="19">
        <f>C340-'Derived 5Y Spreads'!G305</f>
        <v>3.8599999999999994</v>
      </c>
      <c r="F340" s="19">
        <f>C340-'Derived 5Y Spreads'!G186</f>
        <v>2.8599999999999994</v>
      </c>
      <c r="G340" s="20">
        <f>'Derived 5Y Spreads'!E340</f>
      </c>
      <c r="H340" s="21" t="str">
        <f>'Derived 5Y Spreads'!O340</f>
        <v>stale</v>
      </c>
      <c r="I340" s="22" t="str">
        <f>'Derived 5Y Spreads'!A340</f>
        <v>screenshot-reference-20260824-v1</v>
      </c>
      <c r="J340" s="22" t="str">
        <f>'Derived 5Y Spreads'!D340</f>
        <v>SCREENSHOT.AMZN.5Y</v>
      </c>
      <c r="K340" s="5"/>
    </row>
    <row r="341" spans="1:11" x14ac:dyDescent="0.25">
      <c r="A341" s="7">
        <v>46252</v>
      </c>
      <c r="B341" s="6" t="s">
        <v>23</v>
      </c>
      <c r="C341" s="23">
        <f>'Derived 5Y Spreads'!G341</f>
        <v>56.75</v>
      </c>
      <c r="D341" s="24">
        <f>C341-'Derived 5Y Spreads'!G334</f>
        <v>0.75</v>
      </c>
      <c r="E341" s="24">
        <f>C341-'Derived 5Y Spreads'!G306</f>
        <v>4.420000000000002</v>
      </c>
      <c r="F341" s="24">
        <f>C341-'Derived 5Y Spreads'!G187</f>
        <v>-0.25</v>
      </c>
      <c r="G341" s="25">
        <f>'Derived 5Y Spreads'!E341</f>
      </c>
      <c r="H341" s="21" t="str">
        <f>'Derived 5Y Spreads'!O341</f>
        <v>stale</v>
      </c>
      <c r="I341" s="26" t="str">
        <f>'Derived 5Y Spreads'!A341</f>
        <v>screenshot-reference-20260824-v1</v>
      </c>
      <c r="J341" s="26" t="str">
        <f>'Derived 5Y Spreads'!D341</f>
        <v>SCREENSHOT.ALPHINC.5Y</v>
      </c>
      <c r="K341" s="9"/>
    </row>
    <row r="342" spans="1:11" x14ac:dyDescent="0.25">
      <c r="A342" s="3">
        <v>46252</v>
      </c>
      <c r="B342" s="2" t="s">
        <v>26</v>
      </c>
      <c r="C342" s="18">
        <f>'Derived 5Y Spreads'!G342</f>
        <v>45.75</v>
      </c>
      <c r="D342" s="19">
        <f>C342-'Derived 5Y Spreads'!G335</f>
        <v>0.75</v>
      </c>
      <c r="E342" s="19">
        <f>C342-'Derived 5Y Spreads'!G307</f>
        <v>3.0799999999999983</v>
      </c>
      <c r="F342" s="19">
        <f>C342-'Derived 5Y Spreads'!G188</f>
        <v>-1.25</v>
      </c>
      <c r="G342" s="20">
        <f>'Derived 5Y Spreads'!E342</f>
      </c>
      <c r="H342" s="21" t="str">
        <f>'Derived 5Y Spreads'!O342</f>
        <v>stale</v>
      </c>
      <c r="I342" s="22" t="str">
        <f>'Derived 5Y Spreads'!A342</f>
        <v>screenshot-reference-20260824-v1</v>
      </c>
      <c r="J342" s="22" t="str">
        <f>'Derived 5Y Spreads'!D342</f>
        <v>SCREENSHOT.MSFT.5Y</v>
      </c>
      <c r="K342" s="5"/>
    </row>
    <row r="343" spans="1:11" x14ac:dyDescent="0.25">
      <c r="A343" s="7">
        <v>46252</v>
      </c>
      <c r="B343" s="6" t="s">
        <v>29</v>
      </c>
      <c r="C343" s="23">
        <f>'Derived 5Y Spreads'!G343</f>
        <v>91</v>
      </c>
      <c r="D343" s="24">
        <f>C343-'Derived 5Y Spreads'!G336</f>
        <v>2.75</v>
      </c>
      <c r="E343" s="24">
        <f>C343-'Derived 5Y Spreads'!G308</f>
        <v>6.5</v>
      </c>
      <c r="F343" s="24">
        <f>C343-'Derived 5Y Spreads'!G189</f>
        <v>15</v>
      </c>
      <c r="G343" s="25">
        <f>'Derived 5Y Spreads'!E343</f>
      </c>
      <c r="H343" s="21" t="str">
        <f>'Derived 5Y Spreads'!O343</f>
        <v>stale</v>
      </c>
      <c r="I343" s="26" t="str">
        <f>'Derived 5Y Spreads'!A343</f>
        <v>screenshot-reference-20260824-v1</v>
      </c>
      <c r="J343" s="26" t="str">
        <f>'Derived 5Y Spreads'!D343</f>
        <v>SCREENSHOT.METAPL.5Y</v>
      </c>
      <c r="K343" s="9"/>
    </row>
    <row r="344" spans="1:11" x14ac:dyDescent="0.25">
      <c r="A344" s="3">
        <v>46253</v>
      </c>
      <c r="B344" s="2" t="s">
        <v>9</v>
      </c>
      <c r="C344" s="18">
        <f>'Derived 5Y Spreads'!G344</f>
        <v>203</v>
      </c>
      <c r="D344" s="19">
        <f>C344-'Derived 5Y Spreads'!G337</f>
        <v>5.5</v>
      </c>
      <c r="E344" s="19">
        <f>C344-'Derived 5Y Spreads'!G309</f>
        <v>5.3300000000000125</v>
      </c>
      <c r="F344" s="19">
        <f>C344-'Derived 5Y Spreads'!G183</f>
        <v>15.430000000000007</v>
      </c>
      <c r="G344" s="20">
        <f>'Derived 5Y Spreads'!E344</f>
      </c>
      <c r="H344" s="21" t="str">
        <f>'Derived 5Y Spreads'!O344</f>
        <v>stale</v>
      </c>
      <c r="I344" s="22" t="str">
        <f>'Derived 5Y Spreads'!A344</f>
        <v>screenshot-reference-20260824-v1</v>
      </c>
      <c r="J344" s="22" t="str">
        <f>'Derived 5Y Spreads'!D344</f>
        <v>SCREENSHOT.ORCLE.5Y</v>
      </c>
      <c r="K344" s="5"/>
    </row>
    <row r="345" spans="1:11" x14ac:dyDescent="0.25">
      <c r="A345" s="7">
        <v>46253</v>
      </c>
      <c r="B345" s="6" t="s">
        <v>14</v>
      </c>
      <c r="C345" s="23">
        <f>'Derived 5Y Spreads'!G345</f>
        <v>730</v>
      </c>
      <c r="D345" s="24">
        <f>C345-'Derived 5Y Spreads'!G338</f>
        <v>30</v>
      </c>
      <c r="E345" s="24">
        <f>C345-'Derived 5Y Spreads'!G310</f>
        <v>-20</v>
      </c>
      <c r="F345" s="24">
        <f>C345-'Derived 5Y Spreads'!G184</f>
        <v>50</v>
      </c>
      <c r="G345" s="25">
        <f>'Derived 5Y Spreads'!E345</f>
      </c>
      <c r="H345" s="21" t="str">
        <f>'Derived 5Y Spreads'!O345</f>
        <v>stale</v>
      </c>
      <c r="I345" s="26" t="str">
        <f>'Derived 5Y Spreads'!A345</f>
        <v>screenshot-reference-20260824-v1</v>
      </c>
      <c r="J345" s="26" t="str">
        <f>'Derived 5Y Spreads'!D345</f>
        <v>SCREENSHOT.COREWEI.5Y</v>
      </c>
      <c r="K345" s="9"/>
    </row>
    <row r="346" spans="1:11" x14ac:dyDescent="0.25">
      <c r="A346" s="3">
        <v>46253</v>
      </c>
      <c r="B346" s="2" t="s">
        <v>17</v>
      </c>
      <c r="C346" s="18">
        <f>'Derived 5Y Spreads'!G346</f>
        <v>84.5</v>
      </c>
      <c r="D346" s="19">
        <f>C346-'Derived 5Y Spreads'!G339</f>
        <v>1.25</v>
      </c>
      <c r="E346" s="19">
        <f>C346-'Derived 5Y Spreads'!G311</f>
        <v>11.170000000000002</v>
      </c>
      <c r="F346" s="19">
        <f>C346-'Derived 5Y Spreads'!G185</f>
        <v>26.5</v>
      </c>
      <c r="G346" s="20">
        <f>'Derived 5Y Spreads'!E346</f>
      </c>
      <c r="H346" s="21" t="str">
        <f>'Derived 5Y Spreads'!O346</f>
        <v>stale</v>
      </c>
      <c r="I346" s="22" t="str">
        <f>'Derived 5Y Spreads'!A346</f>
        <v>screenshot-reference-20260824-v1</v>
      </c>
      <c r="J346" s="22" t="str">
        <f>'Derived 5Y Spreads'!D346</f>
        <v>SCREENSHOT.NVIDIA.5Y</v>
      </c>
      <c r="K346" s="5"/>
    </row>
    <row r="347" spans="1:11" x14ac:dyDescent="0.25">
      <c r="A347" s="7">
        <v>46253</v>
      </c>
      <c r="B347" s="6" t="s">
        <v>20</v>
      </c>
      <c r="C347" s="23">
        <f>'Derived 5Y Spreads'!G347</f>
        <v>61.57</v>
      </c>
      <c r="D347" s="24">
        <f>C347-'Derived 5Y Spreads'!G340</f>
        <v>1.7100000000000009</v>
      </c>
      <c r="E347" s="24">
        <f>C347-'Derived 5Y Spreads'!G312</f>
        <v>6.57</v>
      </c>
      <c r="F347" s="24">
        <f>C347-'Derived 5Y Spreads'!G186</f>
        <v>4.57</v>
      </c>
      <c r="G347" s="25">
        <f>'Derived 5Y Spreads'!E347</f>
      </c>
      <c r="H347" s="21" t="str">
        <f>'Derived 5Y Spreads'!O347</f>
        <v>stale</v>
      </c>
      <c r="I347" s="26" t="str">
        <f>'Derived 5Y Spreads'!A347</f>
        <v>screenshot-reference-20260824-v1</v>
      </c>
      <c r="J347" s="26" t="str">
        <f>'Derived 5Y Spreads'!D347</f>
        <v>SCREENSHOT.AMZN.5Y</v>
      </c>
      <c r="K347" s="9"/>
    </row>
    <row r="348" spans="1:11" x14ac:dyDescent="0.25">
      <c r="A348" s="3">
        <v>46253</v>
      </c>
      <c r="B348" s="2" t="s">
        <v>23</v>
      </c>
      <c r="C348" s="18">
        <f>'Derived 5Y Spreads'!G348</f>
        <v>57.5</v>
      </c>
      <c r="D348" s="19">
        <f>C348-'Derived 5Y Spreads'!G341</f>
        <v>0.75</v>
      </c>
      <c r="E348" s="19">
        <f>C348-'Derived 5Y Spreads'!G313</f>
        <v>5.829999999999998</v>
      </c>
      <c r="F348" s="19">
        <f>C348-'Derived 5Y Spreads'!G187</f>
        <v>0.5</v>
      </c>
      <c r="G348" s="20">
        <f>'Derived 5Y Spreads'!E348</f>
      </c>
      <c r="H348" s="21" t="str">
        <f>'Derived 5Y Spreads'!O348</f>
        <v>stale</v>
      </c>
      <c r="I348" s="22" t="str">
        <f>'Derived 5Y Spreads'!A348</f>
        <v>screenshot-reference-20260824-v1</v>
      </c>
      <c r="J348" s="22" t="str">
        <f>'Derived 5Y Spreads'!D348</f>
        <v>SCREENSHOT.ALPHINC.5Y</v>
      </c>
      <c r="K348" s="5"/>
    </row>
    <row r="349" spans="1:11" x14ac:dyDescent="0.25">
      <c r="A349" s="7">
        <v>46253</v>
      </c>
      <c r="B349" s="6" t="s">
        <v>26</v>
      </c>
      <c r="C349" s="23">
        <f>'Derived 5Y Spreads'!G349</f>
        <v>46.5</v>
      </c>
      <c r="D349" s="24">
        <f>C349-'Derived 5Y Spreads'!G342</f>
        <v>0.75</v>
      </c>
      <c r="E349" s="24">
        <f>C349-'Derived 5Y Spreads'!G314</f>
        <v>4.670000000000002</v>
      </c>
      <c r="F349" s="24">
        <f>C349-'Derived 5Y Spreads'!G188</f>
        <v>-0.5</v>
      </c>
      <c r="G349" s="25">
        <f>'Derived 5Y Spreads'!E349</f>
      </c>
      <c r="H349" s="21" t="str">
        <f>'Derived 5Y Spreads'!O349</f>
        <v>stale</v>
      </c>
      <c r="I349" s="26" t="str">
        <f>'Derived 5Y Spreads'!A349</f>
        <v>screenshot-reference-20260824-v1</v>
      </c>
      <c r="J349" s="26" t="str">
        <f>'Derived 5Y Spreads'!D349</f>
        <v>SCREENSHOT.MSFT.5Y</v>
      </c>
      <c r="K349" s="9"/>
    </row>
    <row r="350" spans="1:11" x14ac:dyDescent="0.25">
      <c r="A350" s="3">
        <v>46253</v>
      </c>
      <c r="B350" s="2" t="s">
        <v>29</v>
      </c>
      <c r="C350" s="18">
        <f>'Derived 5Y Spreads'!G350</f>
        <v>92.67</v>
      </c>
      <c r="D350" s="19">
        <f>C350-'Derived 5Y Spreads'!G343</f>
        <v>1.6700000000000017</v>
      </c>
      <c r="E350" s="19">
        <f>C350-'Derived 5Y Spreads'!G315</f>
        <v>9.670000000000002</v>
      </c>
      <c r="F350" s="19">
        <f>C350-'Derived 5Y Spreads'!G189</f>
        <v>16.67</v>
      </c>
      <c r="G350" s="20">
        <f>'Derived 5Y Spreads'!E350</f>
      </c>
      <c r="H350" s="21" t="str">
        <f>'Derived 5Y Spreads'!O350</f>
        <v>stale</v>
      </c>
      <c r="I350" s="22" t="str">
        <f>'Derived 5Y Spreads'!A350</f>
        <v>screenshot-reference-20260824-v1</v>
      </c>
      <c r="J350" s="22" t="str">
        <f>'Derived 5Y Spreads'!D350</f>
        <v>SCREENSHOT.METAPL.5Y</v>
      </c>
      <c r="K350" s="5"/>
    </row>
    <row r="351" spans="1:11" x14ac:dyDescent="0.25">
      <c r="A351" s="7">
        <v>46254</v>
      </c>
      <c r="B351" s="6" t="s">
        <v>9</v>
      </c>
      <c r="C351" s="23">
        <f>'Derived 5Y Spreads'!G351</f>
        <v>208.5</v>
      </c>
      <c r="D351" s="24">
        <f>C351-'Derived 5Y Spreads'!G344</f>
        <v>5.5</v>
      </c>
      <c r="E351" s="24">
        <f>C351-'Derived 5Y Spreads'!G316</f>
        <v>9.5</v>
      </c>
      <c r="F351" s="24">
        <f>C351-'Derived 5Y Spreads'!G190</f>
        <v>20.5</v>
      </c>
      <c r="G351" s="25">
        <f>'Derived 5Y Spreads'!E351</f>
      </c>
      <c r="H351" s="21" t="str">
        <f>'Derived 5Y Spreads'!O351</f>
        <v>stale</v>
      </c>
      <c r="I351" s="26" t="str">
        <f>'Derived 5Y Spreads'!A351</f>
        <v>screenshot-reference-20260824-v1</v>
      </c>
      <c r="J351" s="26" t="str">
        <f>'Derived 5Y Spreads'!D351</f>
        <v>SCREENSHOT.ORCLE.5Y</v>
      </c>
      <c r="K351" s="9"/>
    </row>
    <row r="352" spans="1:11" x14ac:dyDescent="0.25">
      <c r="A352" s="3">
        <v>46254</v>
      </c>
      <c r="B352" s="2" t="s">
        <v>14</v>
      </c>
      <c r="C352" s="18">
        <f>'Derived 5Y Spreads'!G352</f>
        <v>760</v>
      </c>
      <c r="D352" s="19">
        <f>C352-'Derived 5Y Spreads'!G345</f>
        <v>30</v>
      </c>
      <c r="E352" s="19">
        <f>C352-'Derived 5Y Spreads'!G317</f>
        <v>15</v>
      </c>
      <c r="F352" s="19">
        <f>C352-'Derived 5Y Spreads'!G191</f>
        <v>72.5</v>
      </c>
      <c r="G352" s="20">
        <f>'Derived 5Y Spreads'!E352</f>
      </c>
      <c r="H352" s="21" t="str">
        <f>'Derived 5Y Spreads'!O352</f>
        <v>stale</v>
      </c>
      <c r="I352" s="22" t="str">
        <f>'Derived 5Y Spreads'!A352</f>
        <v>screenshot-reference-20260824-v1</v>
      </c>
      <c r="J352" s="22" t="str">
        <f>'Derived 5Y Spreads'!D352</f>
        <v>SCREENSHOT.COREWEI.5Y</v>
      </c>
      <c r="K352" s="5"/>
    </row>
    <row r="353" spans="1:11" x14ac:dyDescent="0.25">
      <c r="A353" s="7">
        <v>46254</v>
      </c>
      <c r="B353" s="6" t="s">
        <v>17</v>
      </c>
      <c r="C353" s="23">
        <f>'Derived 5Y Spreads'!G353</f>
        <v>85.75</v>
      </c>
      <c r="D353" s="24">
        <f>C353-'Derived 5Y Spreads'!G346</f>
        <v>1.25</v>
      </c>
      <c r="E353" s="24">
        <f>C353-'Derived 5Y Spreads'!G318</f>
        <v>13.75</v>
      </c>
      <c r="F353" s="24">
        <f>C353-'Derived 5Y Spreads'!G192</f>
        <v>26.75</v>
      </c>
      <c r="G353" s="25">
        <f>'Derived 5Y Spreads'!E353</f>
      </c>
      <c r="H353" s="21" t="str">
        <f>'Derived 5Y Spreads'!O353</f>
        <v>stale</v>
      </c>
      <c r="I353" s="26" t="str">
        <f>'Derived 5Y Spreads'!A353</f>
        <v>screenshot-reference-20260824-v1</v>
      </c>
      <c r="J353" s="26" t="str">
        <f>'Derived 5Y Spreads'!D353</f>
        <v>SCREENSHOT.NVIDIA.5Y</v>
      </c>
      <c r="K353" s="9"/>
    </row>
    <row r="354" spans="1:11" x14ac:dyDescent="0.25">
      <c r="A354" s="3">
        <v>46254</v>
      </c>
      <c r="B354" s="2" t="s">
        <v>20</v>
      </c>
      <c r="C354" s="18">
        <f>'Derived 5Y Spreads'!G354</f>
        <v>63.29</v>
      </c>
      <c r="D354" s="19">
        <f>C354-'Derived 5Y Spreads'!G347</f>
        <v>1.7199999999999989</v>
      </c>
      <c r="E354" s="19">
        <f>C354-'Derived 5Y Spreads'!G319</f>
        <v>9.29</v>
      </c>
      <c r="F354" s="19">
        <f>C354-'Derived 5Y Spreads'!G193</f>
        <v>5.089999999999996</v>
      </c>
      <c r="G354" s="20">
        <f>'Derived 5Y Spreads'!E354</f>
      </c>
      <c r="H354" s="21" t="str">
        <f>'Derived 5Y Spreads'!O354</f>
        <v>stale</v>
      </c>
      <c r="I354" s="22" t="str">
        <f>'Derived 5Y Spreads'!A354</f>
        <v>screenshot-reference-20260824-v1</v>
      </c>
      <c r="J354" s="22" t="str">
        <f>'Derived 5Y Spreads'!D354</f>
        <v>SCREENSHOT.AMZN.5Y</v>
      </c>
      <c r="K354" s="5"/>
    </row>
    <row r="355" spans="1:11" x14ac:dyDescent="0.25">
      <c r="A355" s="7">
        <v>46254</v>
      </c>
      <c r="B355" s="6" t="s">
        <v>23</v>
      </c>
      <c r="C355" s="23">
        <f>'Derived 5Y Spreads'!G355</f>
        <v>58.25</v>
      </c>
      <c r="D355" s="24">
        <f>C355-'Derived 5Y Spreads'!G348</f>
        <v>0.75</v>
      </c>
      <c r="E355" s="24">
        <f>C355-'Derived 5Y Spreads'!G320</f>
        <v>7.25</v>
      </c>
      <c r="F355" s="24">
        <f>C355-'Derived 5Y Spreads'!G194</f>
        <v>-0.25</v>
      </c>
      <c r="G355" s="25">
        <f>'Derived 5Y Spreads'!E355</f>
      </c>
      <c r="H355" s="21" t="str">
        <f>'Derived 5Y Spreads'!O355</f>
        <v>stale</v>
      </c>
      <c r="I355" s="26" t="str">
        <f>'Derived 5Y Spreads'!A355</f>
        <v>screenshot-reference-20260824-v1</v>
      </c>
      <c r="J355" s="26" t="str">
        <f>'Derived 5Y Spreads'!D355</f>
        <v>SCREENSHOT.ALPHINC.5Y</v>
      </c>
      <c r="K355" s="9"/>
    </row>
    <row r="356" spans="1:11" x14ac:dyDescent="0.25">
      <c r="A356" s="3">
        <v>46254</v>
      </c>
      <c r="B356" s="2" t="s">
        <v>26</v>
      </c>
      <c r="C356" s="18">
        <f>'Derived 5Y Spreads'!G356</f>
        <v>47.25</v>
      </c>
      <c r="D356" s="19">
        <f>C356-'Derived 5Y Spreads'!G349</f>
        <v>0.75</v>
      </c>
      <c r="E356" s="19">
        <f>C356-'Derived 5Y Spreads'!G321</f>
        <v>6.25</v>
      </c>
      <c r="F356" s="19">
        <f>C356-'Derived 5Y Spreads'!G195</f>
        <v>-0.3500000000000014</v>
      </c>
      <c r="G356" s="20">
        <f>'Derived 5Y Spreads'!E356</f>
      </c>
      <c r="H356" s="21" t="str">
        <f>'Derived 5Y Spreads'!O356</f>
        <v>stale</v>
      </c>
      <c r="I356" s="22" t="str">
        <f>'Derived 5Y Spreads'!A356</f>
        <v>screenshot-reference-20260824-v1</v>
      </c>
      <c r="J356" s="22" t="str">
        <f>'Derived 5Y Spreads'!D356</f>
        <v>SCREENSHOT.MSFT.5Y</v>
      </c>
      <c r="K356" s="5"/>
    </row>
    <row r="357" spans="1:11" x14ac:dyDescent="0.25">
      <c r="A357" s="7">
        <v>46254</v>
      </c>
      <c r="B357" s="6" t="s">
        <v>29</v>
      </c>
      <c r="C357" s="23">
        <f>'Derived 5Y Spreads'!G357</f>
        <v>94.33</v>
      </c>
      <c r="D357" s="24">
        <f>C357-'Derived 5Y Spreads'!G350</f>
        <v>1.6599999999999966</v>
      </c>
      <c r="E357" s="24">
        <f>C357-'Derived 5Y Spreads'!G322</f>
        <v>12.829999999999998</v>
      </c>
      <c r="F357" s="24">
        <f>C357-'Derived 5Y Spreads'!G196</f>
        <v>16.53</v>
      </c>
      <c r="G357" s="25">
        <f>'Derived 5Y Spreads'!E357</f>
      </c>
      <c r="H357" s="21" t="str">
        <f>'Derived 5Y Spreads'!O357</f>
        <v>stale</v>
      </c>
      <c r="I357" s="26" t="str">
        <f>'Derived 5Y Spreads'!A357</f>
        <v>screenshot-reference-20260824-v1</v>
      </c>
      <c r="J357" s="26" t="str">
        <f>'Derived 5Y Spreads'!D357</f>
        <v>SCREENSHOT.METAPL.5Y</v>
      </c>
      <c r="K357" s="9"/>
    </row>
    <row r="358" spans="1:11" x14ac:dyDescent="0.25">
      <c r="A358" s="3">
        <v>46255</v>
      </c>
      <c r="B358" s="2" t="s">
        <v>9</v>
      </c>
      <c r="C358" s="18">
        <f>'Derived 5Y Spreads'!G358</f>
        <v>214</v>
      </c>
      <c r="D358" s="19">
        <f>C358-'Derived 5Y Spreads'!G351</f>
        <v>5.5</v>
      </c>
      <c r="E358" s="19">
        <f>C358-'Derived 5Y Spreads'!G323</f>
        <v>16.75</v>
      </c>
      <c r="F358" s="19">
        <f>C358-'Derived 5Y Spreads'!G197</f>
        <v>21.75</v>
      </c>
      <c r="G358" s="20">
        <f>'Derived 5Y Spreads'!E358</f>
      </c>
      <c r="H358" s="21" t="str">
        <f>'Derived 5Y Spreads'!O358</f>
        <v>stale</v>
      </c>
      <c r="I358" s="22" t="str">
        <f>'Derived 5Y Spreads'!A358</f>
        <v>screenshot-reference-20260824-v1</v>
      </c>
      <c r="J358" s="22" t="str">
        <f>'Derived 5Y Spreads'!D358</f>
        <v>SCREENSHOT.ORCLE.5Y</v>
      </c>
      <c r="K358" s="5"/>
    </row>
    <row r="359" spans="1:11" x14ac:dyDescent="0.25">
      <c r="A359" s="7">
        <v>46255</v>
      </c>
      <c r="B359" s="6" t="s">
        <v>14</v>
      </c>
      <c r="C359" s="23">
        <f>'Derived 5Y Spreads'!G359</f>
        <v>790</v>
      </c>
      <c r="D359" s="24">
        <f>C359-'Derived 5Y Spreads'!G352</f>
        <v>30</v>
      </c>
      <c r="E359" s="24">
        <f>C359-'Derived 5Y Spreads'!G324</f>
        <v>50</v>
      </c>
      <c r="F359" s="24">
        <f>C359-'Derived 5Y Spreads'!G198</f>
        <v>100</v>
      </c>
      <c r="G359" s="25">
        <f>'Derived 5Y Spreads'!E359</f>
      </c>
      <c r="H359" s="21" t="str">
        <f>'Derived 5Y Spreads'!O359</f>
        <v>stale</v>
      </c>
      <c r="I359" s="26" t="str">
        <f>'Derived 5Y Spreads'!A359</f>
        <v>screenshot-reference-20260824-v1</v>
      </c>
      <c r="J359" s="26" t="str">
        <f>'Derived 5Y Spreads'!D359</f>
        <v>SCREENSHOT.COREWEI.5Y</v>
      </c>
      <c r="K359" s="9"/>
    </row>
    <row r="360" spans="1:11" x14ac:dyDescent="0.25">
      <c r="A360" s="3">
        <v>46255</v>
      </c>
      <c r="B360" s="2" t="s">
        <v>17</v>
      </c>
      <c r="C360" s="18">
        <f>'Derived 5Y Spreads'!G360</f>
        <v>87</v>
      </c>
      <c r="D360" s="19">
        <f>C360-'Derived 5Y Spreads'!G353</f>
        <v>1.25</v>
      </c>
      <c r="E360" s="19">
        <f>C360-'Derived 5Y Spreads'!G325</f>
        <v>12.5</v>
      </c>
      <c r="F360" s="19">
        <f>C360-'Derived 5Y Spreads'!G199</f>
        <v>25.25</v>
      </c>
      <c r="G360" s="20">
        <f>'Derived 5Y Spreads'!E360</f>
      </c>
      <c r="H360" s="21" t="str">
        <f>'Derived 5Y Spreads'!O360</f>
        <v>stale</v>
      </c>
      <c r="I360" s="22" t="str">
        <f>'Derived 5Y Spreads'!A360</f>
        <v>screenshot-reference-20260824-v1</v>
      </c>
      <c r="J360" s="22" t="str">
        <f>'Derived 5Y Spreads'!D360</f>
        <v>SCREENSHOT.NVIDIA.5Y</v>
      </c>
      <c r="K360" s="5"/>
    </row>
    <row r="361" spans="1:11" x14ac:dyDescent="0.25">
      <c r="A361" s="7">
        <v>46255</v>
      </c>
      <c r="B361" s="6" t="s">
        <v>20</v>
      </c>
      <c r="C361" s="23">
        <f>'Derived 5Y Spreads'!G361</f>
        <v>65</v>
      </c>
      <c r="D361" s="24">
        <f>C361-'Derived 5Y Spreads'!G354</f>
        <v>1.7100000000000009</v>
      </c>
      <c r="E361" s="24">
        <f>C361-'Derived 5Y Spreads'!G326</f>
        <v>12</v>
      </c>
      <c r="F361" s="24">
        <f>C361-'Derived 5Y Spreads'!G200</f>
        <v>6.399999999999999</v>
      </c>
      <c r="G361" s="25">
        <f>'Derived 5Y Spreads'!E361</f>
      </c>
      <c r="H361" s="21" t="str">
        <f>'Derived 5Y Spreads'!O361</f>
        <v>stale</v>
      </c>
      <c r="I361" s="26" t="str">
        <f>'Derived 5Y Spreads'!A361</f>
        <v>screenshot-reference-20260824-v1</v>
      </c>
      <c r="J361" s="26" t="str">
        <f>'Derived 5Y Spreads'!D361</f>
        <v>SCREENSHOT.AMZN.5Y</v>
      </c>
      <c r="K361" s="9"/>
    </row>
    <row r="362" spans="1:11" x14ac:dyDescent="0.25">
      <c r="A362" s="3">
        <v>46255</v>
      </c>
      <c r="B362" s="2" t="s">
        <v>23</v>
      </c>
      <c r="C362" s="18">
        <f>'Derived 5Y Spreads'!G362</f>
        <v>59</v>
      </c>
      <c r="D362" s="19">
        <f>C362-'Derived 5Y Spreads'!G355</f>
        <v>0.75</v>
      </c>
      <c r="E362" s="19">
        <f>C362-'Derived 5Y Spreads'!G327</f>
        <v>6.75</v>
      </c>
      <c r="F362" s="19">
        <f>C362-'Derived 5Y Spreads'!G201</f>
        <v>0</v>
      </c>
      <c r="G362" s="20">
        <f>'Derived 5Y Spreads'!E362</f>
      </c>
      <c r="H362" s="21" t="str">
        <f>'Derived 5Y Spreads'!O362</f>
        <v>stale</v>
      </c>
      <c r="I362" s="22" t="str">
        <f>'Derived 5Y Spreads'!A362</f>
        <v>screenshot-reference-20260824-v1</v>
      </c>
      <c r="J362" s="22" t="str">
        <f>'Derived 5Y Spreads'!D362</f>
        <v>SCREENSHOT.ALPHINC.5Y</v>
      </c>
      <c r="K362" s="5"/>
    </row>
    <row r="363" spans="1:11" x14ac:dyDescent="0.25">
      <c r="A363" s="7">
        <v>46255</v>
      </c>
      <c r="B363" s="6" t="s">
        <v>26</v>
      </c>
      <c r="C363" s="23">
        <f>'Derived 5Y Spreads'!G363</f>
        <v>48</v>
      </c>
      <c r="D363" s="24">
        <f>C363-'Derived 5Y Spreads'!G356</f>
        <v>0.75</v>
      </c>
      <c r="E363" s="24">
        <f>C363-'Derived 5Y Spreads'!G328</f>
        <v>6</v>
      </c>
      <c r="F363" s="24">
        <f>C363-'Derived 5Y Spreads'!G202</f>
        <v>0.20000000000000284</v>
      </c>
      <c r="G363" s="25">
        <f>'Derived 5Y Spreads'!E363</f>
      </c>
      <c r="H363" s="21" t="str">
        <f>'Derived 5Y Spreads'!O363</f>
        <v>stale</v>
      </c>
      <c r="I363" s="26" t="str">
        <f>'Derived 5Y Spreads'!A363</f>
        <v>screenshot-reference-20260824-v1</v>
      </c>
      <c r="J363" s="26" t="str">
        <f>'Derived 5Y Spreads'!D363</f>
        <v>SCREENSHOT.MSFT.5Y</v>
      </c>
      <c r="K363" s="9"/>
    </row>
    <row r="364" spans="1:11" x14ac:dyDescent="0.25">
      <c r="A364" s="3">
        <v>46255</v>
      </c>
      <c r="B364" s="2" t="s">
        <v>29</v>
      </c>
      <c r="C364" s="18">
        <f>'Derived 5Y Spreads'!G364</f>
        <v>96</v>
      </c>
      <c r="D364" s="19">
        <f>C364-'Derived 5Y Spreads'!G357</f>
        <v>1.6700000000000017</v>
      </c>
      <c r="E364" s="19">
        <f>C364-'Derived 5Y Spreads'!G329</f>
        <v>16</v>
      </c>
      <c r="F364" s="19">
        <f>C364-'Derived 5Y Spreads'!G203</f>
        <v>17.599999999999994</v>
      </c>
      <c r="G364" s="20">
        <f>'Derived 5Y Spreads'!E364</f>
      </c>
      <c r="H364" s="21" t="str">
        <f>'Derived 5Y Spreads'!O364</f>
        <v>stale</v>
      </c>
      <c r="I364" s="22" t="str">
        <f>'Derived 5Y Spreads'!A364</f>
        <v>screenshot-reference-20260824-v1</v>
      </c>
      <c r="J364" s="22" t="str">
        <f>'Derived 5Y Spreads'!D364</f>
        <v>SCREENSHOT.METAPL.5Y</v>
      </c>
      <c r="K364" s="5"/>
    </row>
    <row r="365" spans="1:11" x14ac:dyDescent="0.25">
      <c r="A365" s="7">
        <v>46258</v>
      </c>
      <c r="B365" s="6" t="s">
        <v>9</v>
      </c>
      <c r="C365" s="23">
        <f>'Derived 5Y Spreads'!G365</f>
        <v>223.30088522481057</v>
      </c>
      <c r="D365" s="24">
        <f>C365-'Derived 5Y Spreads'!G358</f>
        <v>9.300885224810571</v>
      </c>
      <c r="E365" s="24">
        <f>C365-'Derived 5Y Spreads'!G330</f>
        <v>31.30088522481057</v>
      </c>
      <c r="F365" s="24">
        <f>C365-'Derived 5Y Spreads'!G218</f>
        <v>18.30088522481057</v>
      </c>
      <c r="G365" s="25">
        <f>'Derived 5Y Spreads'!E365</f>
        <v>95.0309</v>
      </c>
      <c r="H365" s="27" t="str">
        <f>'Derived 5Y Spreads'!O365</f>
        <v>model-derived</v>
      </c>
      <c r="I365" s="26" t="str">
        <f>'Derived 5Y Spreads'!A365</f>
        <v>ice-20260824-7bf9d81a3ef7</v>
      </c>
      <c r="J365" s="26" t="str">
        <f>'Derived 5Y Spreads'!D365</f>
        <v>ORCLE.SNRFOR.USD.XR14.100.2031-06-20</v>
      </c>
      <c r="K365" s="9" t="s">
        <v>12</v>
      </c>
    </row>
    <row r="366" spans="1:11" x14ac:dyDescent="0.25">
      <c r="A366" s="3">
        <v>46258</v>
      </c>
      <c r="B366" s="2" t="s">
        <v>14</v>
      </c>
      <c r="C366" s="18">
        <f>'Derived 5Y Spreads'!G366</f>
        <v>806.1392991612953</v>
      </c>
      <c r="D366" s="19">
        <f>C366-'Derived 5Y Spreads'!G359</f>
        <v>16.1392991612953</v>
      </c>
      <c r="E366" s="19">
        <f>C366-'Derived 5Y Spreads'!G331</f>
        <v>136.1392991612953</v>
      </c>
      <c r="F366" s="19">
        <f>C366-'Derived 5Y Spreads'!G219</f>
        <v>86.1392991612953</v>
      </c>
      <c r="G366" s="20">
        <f>'Derived 5Y Spreads'!E366</f>
        <v>90.0135</v>
      </c>
      <c r="H366" s="27" t="str">
        <f>'Derived 5Y Spreads'!O366</f>
        <v>model-derived</v>
      </c>
      <c r="I366" s="22" t="str">
        <f>'Derived 5Y Spreads'!A366</f>
        <v>ice-20260824-7bf9d81a3ef7</v>
      </c>
      <c r="J366" s="22" t="str">
        <f>'Derived 5Y Spreads'!D366</f>
        <v>COREWEI.SNRFOR.USD.XR14.500.2031-06-20</v>
      </c>
      <c r="K366" s="5" t="s">
        <v>12</v>
      </c>
    </row>
    <row r="367" spans="1:11" x14ac:dyDescent="0.25">
      <c r="A367" s="7">
        <v>46258</v>
      </c>
      <c r="B367" s="6" t="s">
        <v>17</v>
      </c>
      <c r="C367" s="23">
        <f>'Derived 5Y Spreads'!G367</f>
        <v>87.07546545214814</v>
      </c>
      <c r="D367" s="24">
        <f>C367-'Derived 5Y Spreads'!G360</f>
        <v>0.07546545214813705</v>
      </c>
      <c r="E367" s="24">
        <f>C367-'Derived 5Y Spreads'!G332</f>
        <v>5.075465452148137</v>
      </c>
      <c r="F367" s="24">
        <f>C367-'Derived 5Y Spreads'!G220</f>
        <v>17.075465452148137</v>
      </c>
      <c r="G367" s="25">
        <f>'Derived 5Y Spreads'!E367</f>
        <v>100.5487</v>
      </c>
      <c r="H367" s="27" t="str">
        <f>'Derived 5Y Spreads'!O367</f>
        <v>model-derived</v>
      </c>
      <c r="I367" s="26" t="str">
        <f>'Derived 5Y Spreads'!A367</f>
        <v>ice-20260824-7bf9d81a3ef7</v>
      </c>
      <c r="J367" s="26" t="str">
        <f>'Derived 5Y Spreads'!D367</f>
        <v>NVIDIA.SNRFOR.USD.XR14.100.2031-06-20</v>
      </c>
      <c r="K367" s="9" t="s">
        <v>12</v>
      </c>
    </row>
    <row r="368" spans="1:11" x14ac:dyDescent="0.25">
      <c r="A368" s="3">
        <v>46258</v>
      </c>
      <c r="B368" s="2" t="s">
        <v>20</v>
      </c>
      <c r="C368" s="18">
        <f>'Derived 5Y Spreads'!G368</f>
        <v>65.73355523599807</v>
      </c>
      <c r="D368" s="19">
        <f>C368-'Derived 5Y Spreads'!G361</f>
        <v>0.7335552359980682</v>
      </c>
      <c r="E368" s="19">
        <f>C368-'Derived 5Y Spreads'!G333</f>
        <v>7.593555235998068</v>
      </c>
      <c r="F368" s="19">
        <f>C368-'Derived 5Y Spreads'!G221</f>
        <v>3.5335552359980653</v>
      </c>
      <c r="G368" s="20">
        <f>'Derived 5Y Spreads'!E368</f>
        <v>101.4668</v>
      </c>
      <c r="H368" s="27" t="str">
        <f>'Derived 5Y Spreads'!O368</f>
        <v>model-derived</v>
      </c>
      <c r="I368" s="22" t="str">
        <f>'Derived 5Y Spreads'!A368</f>
        <v>ice-20260824-7bf9d81a3ef7</v>
      </c>
      <c r="J368" s="22" t="str">
        <f>'Derived 5Y Spreads'!D368</f>
        <v>AMZN.SNRFOR.USD.XR14.100.2031-06-20</v>
      </c>
      <c r="K368" s="5" t="s">
        <v>12</v>
      </c>
    </row>
    <row r="369" spans="1:11" x14ac:dyDescent="0.25">
      <c r="A369" s="7">
        <v>46258</v>
      </c>
      <c r="B369" s="6" t="s">
        <v>23</v>
      </c>
      <c r="C369" s="23">
        <f>'Derived 5Y Spreads'!G369</f>
        <v>59.408709349107504</v>
      </c>
      <c r="D369" s="24">
        <f>C369-'Derived 5Y Spreads'!G362</f>
        <v>0.4087093491075038</v>
      </c>
      <c r="E369" s="24">
        <f>C369-'Derived 5Y Spreads'!G334</f>
        <v>3.408709349107504</v>
      </c>
      <c r="F369" s="24">
        <f>C369-'Derived 5Y Spreads'!G222</f>
        <v>-4.591290650892496</v>
      </c>
      <c r="G369" s="25">
        <f>'Derived 5Y Spreads'!E369</f>
        <v>101.7418</v>
      </c>
      <c r="H369" s="27" t="str">
        <f>'Derived 5Y Spreads'!O369</f>
        <v>model-derived</v>
      </c>
      <c r="I369" s="26" t="str">
        <f>'Derived 5Y Spreads'!A369</f>
        <v>ice-20260824-7bf9d81a3ef7</v>
      </c>
      <c r="J369" s="26" t="str">
        <f>'Derived 5Y Spreads'!D369</f>
        <v>ALPHINC.SNRFOR.USD.XR14.100.2031-06-20</v>
      </c>
      <c r="K369" s="9" t="s">
        <v>12</v>
      </c>
    </row>
    <row r="370" spans="1:11" x14ac:dyDescent="0.25">
      <c r="A370" s="3">
        <v>46258</v>
      </c>
      <c r="B370" s="2" t="s">
        <v>26</v>
      </c>
      <c r="C370" s="18">
        <f>'Derived 5Y Spreads'!G370</f>
        <v>48.90425207812754</v>
      </c>
      <c r="D370" s="19">
        <f>C370-'Derived 5Y Spreads'!G363</f>
        <v>0.9042520781275414</v>
      </c>
      <c r="E370" s="19">
        <f>C370-'Derived 5Y Spreads'!G335</f>
        <v>3.9042520781275414</v>
      </c>
      <c r="F370" s="19">
        <f>C370-'Derived 5Y Spreads'!G223</f>
        <v>-0.69574792187246</v>
      </c>
      <c r="G370" s="20">
        <f>'Derived 5Y Spreads'!E370</f>
        <v>102.2015</v>
      </c>
      <c r="H370" s="27" t="str">
        <f>'Derived 5Y Spreads'!O370</f>
        <v>model-derived</v>
      </c>
      <c r="I370" s="22" t="str">
        <f>'Derived 5Y Spreads'!A370</f>
        <v>ice-20260824-7bf9d81a3ef7</v>
      </c>
      <c r="J370" s="22" t="str">
        <f>'Derived 5Y Spreads'!D370</f>
        <v>MSFT.SNRFOR.USD.XR14.100.2031-06-20</v>
      </c>
      <c r="K370" s="5" t="s">
        <v>12</v>
      </c>
    </row>
    <row r="371" spans="1:11" x14ac:dyDescent="0.25">
      <c r="A371" s="7">
        <v>46258</v>
      </c>
      <c r="B371" s="6" t="s">
        <v>29</v>
      </c>
      <c r="C371" s="23">
        <f>'Derived 5Y Spreads'!G371</f>
        <v>97.08682120313722</v>
      </c>
      <c r="D371" s="24">
        <f>C371-'Derived 5Y Spreads'!G364</f>
        <v>1.0868212031372195</v>
      </c>
      <c r="E371" s="24">
        <f>C371-'Derived 5Y Spreads'!G336</f>
        <v>8.83682120313722</v>
      </c>
      <c r="F371" s="24">
        <f>C371-'Derived 5Y Spreads'!G224</f>
        <v>12.486821203137225</v>
      </c>
      <c r="G371" s="25">
        <f>'Derived 5Y Spreads'!E371</f>
        <v>100.1232</v>
      </c>
      <c r="H371" s="27" t="str">
        <f>'Derived 5Y Spreads'!O371</f>
        <v>model-derived</v>
      </c>
      <c r="I371" s="26" t="str">
        <f>'Derived 5Y Spreads'!A371</f>
        <v>ice-20260824-7bf9d81a3ef7</v>
      </c>
      <c r="J371" s="26" t="str">
        <f>'Derived 5Y Spreads'!D371</f>
        <v>METAPL.SNRFOR.USD.XR14.100.2031-06-20</v>
      </c>
      <c r="K371" s="9" t="s">
        <v>12</v>
      </c>
    </row>
    <row r="372" spans="1:11" x14ac:dyDescent="0.25">
      <c r="A372" s="3">
        <v>46259</v>
      </c>
      <c r="B372" s="2" t="s">
        <v>9</v>
      </c>
      <c r="C372" s="18">
        <f>'Derived 5Y Spreads'!G372</f>
        <v>215.5305448223161</v>
      </c>
      <c r="D372" s="19">
        <f>C372-'Derived 5Y Spreads'!G365</f>
        <v>-7.770340402494469</v>
      </c>
      <c r="E372" s="19">
        <f>C372-'Derived 5Y Spreads'!G337</f>
        <v>18.030544822316102</v>
      </c>
      <c r="F372" s="19">
        <f>C372-'Derived 5Y Spreads'!G218</f>
        <v>10.530544822316102</v>
      </c>
      <c r="G372" s="20">
        <f>'Derived 5Y Spreads'!E372</f>
        <v>95.3261</v>
      </c>
      <c r="H372" s="27" t="str">
        <f>'Derived 5Y Spreads'!O372</f>
        <v>model-derived</v>
      </c>
      <c r="I372" s="22" t="str">
        <f>'Derived 5Y Spreads'!A372</f>
        <v>ice-20260825-0e1d34305b1a</v>
      </c>
      <c r="J372" s="22" t="str">
        <f>'Derived 5Y Spreads'!D372</f>
        <v>ORCLE.SNRFOR.USD.XR14.100.2031-06-20</v>
      </c>
      <c r="K372" s="5" t="s">
        <v>12</v>
      </c>
    </row>
    <row r="373" spans="1:11" x14ac:dyDescent="0.25">
      <c r="A373" s="7">
        <v>46259</v>
      </c>
      <c r="B373" s="6" t="s">
        <v>14</v>
      </c>
      <c r="C373" s="23">
        <f>'Derived 5Y Spreads'!G373</f>
        <v>788.7786693247883</v>
      </c>
      <c r="D373" s="24">
        <f>C373-'Derived 5Y Spreads'!G366</f>
        <v>-17.360629836506973</v>
      </c>
      <c r="E373" s="24">
        <f>C373-'Derived 5Y Spreads'!G338</f>
        <v>88.77866932478832</v>
      </c>
      <c r="F373" s="24">
        <f>C373-'Derived 5Y Spreads'!G219</f>
        <v>68.77866932478832</v>
      </c>
      <c r="G373" s="25">
        <f>'Derived 5Y Spreads'!E373</f>
        <v>90.5145</v>
      </c>
      <c r="H373" s="27" t="str">
        <f>'Derived 5Y Spreads'!O373</f>
        <v>model-derived</v>
      </c>
      <c r="I373" s="26" t="str">
        <f>'Derived 5Y Spreads'!A373</f>
        <v>ice-20260825-0e1d34305b1a</v>
      </c>
      <c r="J373" s="26" t="str">
        <f>'Derived 5Y Spreads'!D373</f>
        <v>COREWEI.SNRFOR.USD.XR14.500.2031-06-20</v>
      </c>
      <c r="K373" s="9" t="s">
        <v>12</v>
      </c>
    </row>
    <row r="374" spans="1:11" x14ac:dyDescent="0.25">
      <c r="A374" s="3">
        <v>46259</v>
      </c>
      <c r="B374" s="2" t="s">
        <v>17</v>
      </c>
      <c r="C374" s="18">
        <f>'Derived 5Y Spreads'!G374</f>
        <v>86.12977500381851</v>
      </c>
      <c r="D374" s="19">
        <f>C374-'Derived 5Y Spreads'!G367</f>
        <v>-0.9456904483296285</v>
      </c>
      <c r="E374" s="19">
        <f>C374-'Derived 5Y Spreads'!G339</f>
        <v>2.8797750038185086</v>
      </c>
      <c r="F374" s="19">
        <f>C374-'Derived 5Y Spreads'!G220</f>
        <v>16.12977500381851</v>
      </c>
      <c r="G374" s="20">
        <f>'Derived 5Y Spreads'!E374</f>
        <v>100.5896</v>
      </c>
      <c r="H374" s="27" t="str">
        <f>'Derived 5Y Spreads'!O374</f>
        <v>model-derived</v>
      </c>
      <c r="I374" s="22" t="str">
        <f>'Derived 5Y Spreads'!A374</f>
        <v>ice-20260825-0e1d34305b1a</v>
      </c>
      <c r="J374" s="22" t="str">
        <f>'Derived 5Y Spreads'!D374</f>
        <v>NVIDIA.SNRFOR.USD.XR14.100.2031-06-20</v>
      </c>
      <c r="K374" s="5" t="s">
        <v>12</v>
      </c>
    </row>
    <row r="375" spans="1:11" x14ac:dyDescent="0.25">
      <c r="A375" s="7">
        <v>46259</v>
      </c>
      <c r="B375" s="6" t="s">
        <v>20</v>
      </c>
      <c r="C375" s="23">
        <f>'Derived 5Y Spreads'!G375</f>
        <v>66.35649537009513</v>
      </c>
      <c r="D375" s="24">
        <f>C375-'Derived 5Y Spreads'!G368</f>
        <v>0.622940134097064</v>
      </c>
      <c r="E375" s="24">
        <f>C375-'Derived 5Y Spreads'!G340</f>
        <v>6.496495370095133</v>
      </c>
      <c r="F375" s="24">
        <f>C375-'Derived 5Y Spreads'!G221</f>
        <v>4.156495370095129</v>
      </c>
      <c r="G375" s="25">
        <f>'Derived 5Y Spreads'!E375</f>
        <v>101.4411</v>
      </c>
      <c r="H375" s="27" t="str">
        <f>'Derived 5Y Spreads'!O375</f>
        <v>model-derived</v>
      </c>
      <c r="I375" s="26" t="str">
        <f>'Derived 5Y Spreads'!A375</f>
        <v>ice-20260825-0e1d34305b1a</v>
      </c>
      <c r="J375" s="26" t="str">
        <f>'Derived 5Y Spreads'!D375</f>
        <v>AMZN.SNRFOR.USD.XR14.100.2031-06-20</v>
      </c>
      <c r="K375" s="9" t="s">
        <v>12</v>
      </c>
    </row>
    <row r="376" spans="1:11" x14ac:dyDescent="0.25">
      <c r="A376" s="3">
        <v>46259</v>
      </c>
      <c r="B376" s="2" t="s">
        <v>23</v>
      </c>
      <c r="C376" s="18">
        <f>'Derived 5Y Spreads'!G376</f>
        <v>59.84862813071712</v>
      </c>
      <c r="D376" s="19">
        <f>C376-'Derived 5Y Spreads'!G369</f>
        <v>0.43991878160961306</v>
      </c>
      <c r="E376" s="19">
        <f>C376-'Derived 5Y Spreads'!G341</f>
        <v>3.098628130717117</v>
      </c>
      <c r="F376" s="19">
        <f>C376-'Derived 5Y Spreads'!G222</f>
        <v>-4.151371869282883</v>
      </c>
      <c r="G376" s="20">
        <f>'Derived 5Y Spreads'!E376</f>
        <v>101.7242</v>
      </c>
      <c r="H376" s="27" t="str">
        <f>'Derived 5Y Spreads'!O376</f>
        <v>model-derived</v>
      </c>
      <c r="I376" s="22" t="str">
        <f>'Derived 5Y Spreads'!A376</f>
        <v>ice-20260825-0e1d34305b1a</v>
      </c>
      <c r="J376" s="22" t="str">
        <f>'Derived 5Y Spreads'!D376</f>
        <v>ALPHINC.SNRFOR.USD.XR14.100.2031-06-20</v>
      </c>
      <c r="K376" s="5" t="s">
        <v>12</v>
      </c>
    </row>
    <row r="377" spans="1:11" x14ac:dyDescent="0.25">
      <c r="A377" s="7">
        <v>46259</v>
      </c>
      <c r="B377" s="6" t="s">
        <v>26</v>
      </c>
      <c r="C377" s="23">
        <f>'Derived 5Y Spreads'!G377</f>
        <v>48.60206504108383</v>
      </c>
      <c r="D377" s="24">
        <f>C377-'Derived 5Y Spreads'!G370</f>
        <v>-0.30218703704370853</v>
      </c>
      <c r="E377" s="24">
        <f>C377-'Derived 5Y Spreads'!G342</f>
        <v>2.852065041083833</v>
      </c>
      <c r="F377" s="24">
        <f>C377-'Derived 5Y Spreads'!G223</f>
        <v>-0.9979349589161686</v>
      </c>
      <c r="G377" s="25">
        <f>'Derived 5Y Spreads'!E377</f>
        <v>102.2168</v>
      </c>
      <c r="H377" s="27" t="str">
        <f>'Derived 5Y Spreads'!O377</f>
        <v>model-derived</v>
      </c>
      <c r="I377" s="26" t="str">
        <f>'Derived 5Y Spreads'!A377</f>
        <v>ice-20260825-0e1d34305b1a</v>
      </c>
      <c r="J377" s="26" t="str">
        <f>'Derived 5Y Spreads'!D377</f>
        <v>MSFT.SNRFOR.USD.XR14.100.2031-06-20</v>
      </c>
      <c r="K377" s="9" t="s">
        <v>12</v>
      </c>
    </row>
    <row r="378" spans="1:11" x14ac:dyDescent="0.25">
      <c r="A378" s="3">
        <v>46259</v>
      </c>
      <c r="B378" s="2" t="s">
        <v>29</v>
      </c>
      <c r="C378" s="18">
        <f>'Derived 5Y Spreads'!G378</f>
        <v>95.78044091937431</v>
      </c>
      <c r="D378" s="19">
        <f>C378-'Derived 5Y Spreads'!G371</f>
        <v>-1.3063802837629055</v>
      </c>
      <c r="E378" s="19">
        <f>C378-'Derived 5Y Spreads'!G343</f>
        <v>4.780440919374314</v>
      </c>
      <c r="F378" s="19">
        <f>C378-'Derived 5Y Spreads'!G224</f>
        <v>11.18044091937432</v>
      </c>
      <c r="G378" s="20">
        <f>'Derived 5Y Spreads'!E378</f>
        <v>100.1787</v>
      </c>
      <c r="H378" s="27" t="str">
        <f>'Derived 5Y Spreads'!O378</f>
        <v>model-derived</v>
      </c>
      <c r="I378" s="22" t="str">
        <f>'Derived 5Y Spreads'!A378</f>
        <v>ice-20260825-0e1d34305b1a</v>
      </c>
      <c r="J378" s="22" t="str">
        <f>'Derived 5Y Spreads'!D378</f>
        <v>METAPL.SNRFOR.USD.XR14.100.2031-06-20</v>
      </c>
      <c r="K378" s="5" t="s">
        <v>12</v>
      </c>
    </row>
    <row r="379" spans="1:11" x14ac:dyDescent="0.25">
      <c r="A379" s="7">
        <v>46260</v>
      </c>
      <c r="B379" s="6" t="s">
        <v>9</v>
      </c>
      <c r="C379" s="23">
        <f>'Derived 5Y Spreads'!G379</f>
        <v>211.73480562095</v>
      </c>
      <c r="D379" s="24">
        <f>C379-'Derived 5Y Spreads'!G372</f>
        <v>-3.7957392013661035</v>
      </c>
      <c r="E379" s="24">
        <f>C379-'Derived 5Y Spreads'!G344</f>
        <v>8.734805620949999</v>
      </c>
      <c r="F379" s="24">
        <f>C379-'Derived 5Y Spreads'!G218</f>
        <v>6.734805620949999</v>
      </c>
      <c r="G379" s="25">
        <f>'Derived 5Y Spreads'!E379</f>
        <v>95.4781</v>
      </c>
      <c r="H379" s="27" t="str">
        <f>'Derived 5Y Spreads'!O379</f>
        <v>model-derived</v>
      </c>
      <c r="I379" s="26" t="str">
        <f>'Derived 5Y Spreads'!A379</f>
        <v>ice-20260826-477a2681e92b</v>
      </c>
      <c r="J379" s="26" t="str">
        <f>'Derived 5Y Spreads'!D379</f>
        <v>ORCLE.SNRFOR.USD.XR14.100.2031-06-20</v>
      </c>
      <c r="K379" s="9" t="s">
        <v>12</v>
      </c>
    </row>
    <row r="380" spans="1:11" x14ac:dyDescent="0.25">
      <c r="A380" s="3">
        <v>46260</v>
      </c>
      <c r="B380" s="2" t="s">
        <v>14</v>
      </c>
      <c r="C380" s="18">
        <f>'Derived 5Y Spreads'!G380</f>
        <v>781.9632880309412</v>
      </c>
      <c r="D380" s="19">
        <f>C380-'Derived 5Y Spreads'!G373</f>
        <v>-6.815381293847167</v>
      </c>
      <c r="E380" s="19">
        <f>C380-'Derived 5Y Spreads'!G345</f>
        <v>51.96328803094116</v>
      </c>
      <c r="F380" s="19">
        <f>C380-'Derived 5Y Spreads'!G219</f>
        <v>61.96328803094116</v>
      </c>
      <c r="G380" s="20">
        <f>'Derived 5Y Spreads'!E380</f>
        <v>90.7249</v>
      </c>
      <c r="H380" s="27" t="str">
        <f>'Derived 5Y Spreads'!O380</f>
        <v>model-derived</v>
      </c>
      <c r="I380" s="22" t="str">
        <f>'Derived 5Y Spreads'!A380</f>
        <v>ice-20260826-477a2681e92b</v>
      </c>
      <c r="J380" s="22" t="str">
        <f>'Derived 5Y Spreads'!D380</f>
        <v>COREWEI.SNRFOR.USD.XR14.500.2031-06-20</v>
      </c>
      <c r="K380" s="5" t="s">
        <v>12</v>
      </c>
    </row>
    <row r="381" spans="1:11" x14ac:dyDescent="0.25">
      <c r="A381" s="7">
        <v>46260</v>
      </c>
      <c r="B381" s="6" t="s">
        <v>17</v>
      </c>
      <c r="C381" s="23">
        <f>'Derived 5Y Spreads'!G381</f>
        <v>83.71050316982073</v>
      </c>
      <c r="D381" s="24">
        <f>C381-'Derived 5Y Spreads'!G374</f>
        <v>-2.419271833997783</v>
      </c>
      <c r="E381" s="24">
        <f>C381-'Derived 5Y Spreads'!G346</f>
        <v>-0.7894968301792744</v>
      </c>
      <c r="F381" s="24">
        <f>C381-'Derived 5Y Spreads'!G220</f>
        <v>13.710503169820726</v>
      </c>
      <c r="G381" s="25">
        <f>'Derived 5Y Spreads'!E381</f>
        <v>100.6923</v>
      </c>
      <c r="H381" s="27" t="str">
        <f>'Derived 5Y Spreads'!O381</f>
        <v>model-derived</v>
      </c>
      <c r="I381" s="26" t="str">
        <f>'Derived 5Y Spreads'!A381</f>
        <v>ice-20260826-477a2681e92b</v>
      </c>
      <c r="J381" s="26" t="str">
        <f>'Derived 5Y Spreads'!D381</f>
        <v>NVIDIA.SNRFOR.USD.XR14.100.2031-06-20</v>
      </c>
      <c r="K381" s="9" t="s">
        <v>12</v>
      </c>
    </row>
    <row r="382" spans="1:11" x14ac:dyDescent="0.25">
      <c r="A382" s="3">
        <v>46260</v>
      </c>
      <c r="B382" s="2" t="s">
        <v>20</v>
      </c>
      <c r="C382" s="18">
        <f>'Derived 5Y Spreads'!G382</f>
        <v>65.56668006177567</v>
      </c>
      <c r="D382" s="19">
        <f>C382-'Derived 5Y Spreads'!G375</f>
        <v>-0.7898153083194615</v>
      </c>
      <c r="E382" s="19">
        <f>C382-'Derived 5Y Spreads'!G347</f>
        <v>3.9966800617756704</v>
      </c>
      <c r="F382" s="19">
        <f>C382-'Derived 5Y Spreads'!G221</f>
        <v>3.366680061775668</v>
      </c>
      <c r="G382" s="20">
        <f>'Derived 5Y Spreads'!E382</f>
        <v>101.4737</v>
      </c>
      <c r="H382" s="27" t="str">
        <f>'Derived 5Y Spreads'!O382</f>
        <v>model-derived</v>
      </c>
      <c r="I382" s="22" t="str">
        <f>'Derived 5Y Spreads'!A382</f>
        <v>ice-20260826-477a2681e92b</v>
      </c>
      <c r="J382" s="22" t="str">
        <f>'Derived 5Y Spreads'!D382</f>
        <v>AMZN.SNRFOR.USD.XR14.100.2031-06-20</v>
      </c>
      <c r="K382" s="5" t="s">
        <v>12</v>
      </c>
    </row>
    <row r="383" spans="1:11" x14ac:dyDescent="0.25">
      <c r="A383" s="7">
        <v>46260</v>
      </c>
      <c r="B383" s="6" t="s">
        <v>23</v>
      </c>
      <c r="C383" s="23">
        <f>'Derived 5Y Spreads'!G383</f>
        <v>58.68823969442203</v>
      </c>
      <c r="D383" s="24">
        <f>C383-'Derived 5Y Spreads'!G376</f>
        <v>-1.1603884362950865</v>
      </c>
      <c r="E383" s="24">
        <f>C383-'Derived 5Y Spreads'!G348</f>
        <v>1.1882396944220304</v>
      </c>
      <c r="F383" s="24">
        <f>C383-'Derived 5Y Spreads'!G222</f>
        <v>-5.31176030557797</v>
      </c>
      <c r="G383" s="25">
        <f>'Derived 5Y Spreads'!E383</f>
        <v>101.7728</v>
      </c>
      <c r="H383" s="27" t="str">
        <f>'Derived 5Y Spreads'!O383</f>
        <v>model-derived</v>
      </c>
      <c r="I383" s="26" t="str">
        <f>'Derived 5Y Spreads'!A383</f>
        <v>ice-20260826-477a2681e92b</v>
      </c>
      <c r="J383" s="26" t="str">
        <f>'Derived 5Y Spreads'!D383</f>
        <v>ALPHINC.SNRFOR.USD.XR14.100.2031-06-20</v>
      </c>
      <c r="K383" s="9" t="s">
        <v>12</v>
      </c>
    </row>
    <row r="384" spans="1:11" x14ac:dyDescent="0.25">
      <c r="A384" s="3">
        <v>46260</v>
      </c>
      <c r="B384" s="2" t="s">
        <v>26</v>
      </c>
      <c r="C384" s="18">
        <f>'Derived 5Y Spreads'!G384</f>
        <v>47.127226034305586</v>
      </c>
      <c r="D384" s="19">
        <f>C384-'Derived 5Y Spreads'!G377</f>
        <v>-1.4748390067782466</v>
      </c>
      <c r="E384" s="19">
        <f>C384-'Derived 5Y Spreads'!G349</f>
        <v>0.6272260343055862</v>
      </c>
      <c r="F384" s="19">
        <f>C384-'Derived 5Y Spreads'!G223</f>
        <v>-2.472773965694415</v>
      </c>
      <c r="G384" s="20">
        <f>'Derived 5Y Spreads'!E384</f>
        <v>102.2791</v>
      </c>
      <c r="H384" s="27" t="str">
        <f>'Derived 5Y Spreads'!O384</f>
        <v>model-derived</v>
      </c>
      <c r="I384" s="22" t="str">
        <f>'Derived 5Y Spreads'!A384</f>
        <v>ice-20260826-477a2681e92b</v>
      </c>
      <c r="J384" s="22" t="str">
        <f>'Derived 5Y Spreads'!D384</f>
        <v>MSFT.SNRFOR.USD.XR14.100.2031-06-20</v>
      </c>
      <c r="K384" s="5" t="s">
        <v>12</v>
      </c>
    </row>
    <row r="385" spans="1:11" x14ac:dyDescent="0.25">
      <c r="A385" s="7">
        <v>46260</v>
      </c>
      <c r="B385" s="6" t="s">
        <v>29</v>
      </c>
      <c r="C385" s="23">
        <f>'Derived 5Y Spreads'!G385</f>
        <v>92.68057722690345</v>
      </c>
      <c r="D385" s="24">
        <f>C385-'Derived 5Y Spreads'!G378</f>
        <v>-3.099863692470862</v>
      </c>
      <c r="E385" s="24">
        <f>C385-'Derived 5Y Spreads'!G350</f>
        <v>0.01057722690345031</v>
      </c>
      <c r="F385" s="24">
        <f>C385-'Derived 5Y Spreads'!G224</f>
        <v>8.080577226903458</v>
      </c>
      <c r="G385" s="25">
        <f>'Derived 5Y Spreads'!E385</f>
        <v>100.31</v>
      </c>
      <c r="H385" s="27" t="str">
        <f>'Derived 5Y Spreads'!O385</f>
        <v>model-derived</v>
      </c>
      <c r="I385" s="26" t="str">
        <f>'Derived 5Y Spreads'!A385</f>
        <v>ice-20260826-477a2681e92b</v>
      </c>
      <c r="J385" s="26" t="str">
        <f>'Derived 5Y Spreads'!D385</f>
        <v>METAPL.SNRFOR.USD.XR14.100.2031-06-20</v>
      </c>
      <c r="K385" s="9" t="s">
        <v>12</v>
      </c>
    </row>
    <row r="386" spans="1:11" x14ac:dyDescent="0.25">
      <c r="A386" s="3">
        <v>46261</v>
      </c>
      <c r="B386" s="2" t="s">
        <v>9</v>
      </c>
      <c r="C386" s="18">
        <f>'Derived 5Y Spreads'!G386</f>
        <v>206.188824597763</v>
      </c>
      <c r="D386" s="19">
        <f>C386-'Derived 5Y Spreads'!G379</f>
        <v>-5.545981023187011</v>
      </c>
      <c r="E386" s="19">
        <f>C386-'Derived 5Y Spreads'!G351</f>
        <v>-2.311175402237012</v>
      </c>
      <c r="F386" s="19">
        <f>C386-'Derived 5Y Spreads'!G225</f>
        <v>-6.011175402237001</v>
      </c>
      <c r="G386" s="20">
        <f>'Derived 5Y Spreads'!E386</f>
        <v>95.6966</v>
      </c>
      <c r="H386" s="27" t="str">
        <f>'Derived 5Y Spreads'!O386</f>
        <v>model-derived</v>
      </c>
      <c r="I386" s="22" t="str">
        <f>'Derived 5Y Spreads'!A386</f>
        <v>ice-20260827-480e0acc266e</v>
      </c>
      <c r="J386" s="22" t="str">
        <f>'Derived 5Y Spreads'!D386</f>
        <v>ORCLE.SNRFOR.USD.XR14.100.2031-06-20</v>
      </c>
      <c r="K386" s="5" t="s">
        <v>12</v>
      </c>
    </row>
    <row r="387" spans="1:11" x14ac:dyDescent="0.25">
      <c r="A387" s="7">
        <v>46261</v>
      </c>
      <c r="B387" s="6" t="s">
        <v>14</v>
      </c>
      <c r="C387" s="23">
        <f>'Derived 5Y Spreads'!G387</f>
        <v>768.0860749210395</v>
      </c>
      <c r="D387" s="24">
        <f>C387-'Derived 5Y Spreads'!G380</f>
        <v>-13.877213109901618</v>
      </c>
      <c r="E387" s="24">
        <f>C387-'Derived 5Y Spreads'!G352</f>
        <v>8.08607492103954</v>
      </c>
      <c r="F387" s="24">
        <f>C387-'Derived 5Y Spreads'!G226</f>
        <v>18.08607492103954</v>
      </c>
      <c r="G387" s="25">
        <f>'Derived 5Y Spreads'!E387</f>
        <v>91.1439</v>
      </c>
      <c r="H387" s="27" t="str">
        <f>'Derived 5Y Spreads'!O387</f>
        <v>model-derived</v>
      </c>
      <c r="I387" s="26" t="str">
        <f>'Derived 5Y Spreads'!A387</f>
        <v>ice-20260827-480e0acc266e</v>
      </c>
      <c r="J387" s="26" t="str">
        <f>'Derived 5Y Spreads'!D387</f>
        <v>COREWEI.SNRFOR.USD.XR14.500.2031-06-20</v>
      </c>
      <c r="K387" s="9" t="s">
        <v>12</v>
      </c>
    </row>
    <row r="388" spans="1:11" x14ac:dyDescent="0.25">
      <c r="A388" s="3">
        <v>46261</v>
      </c>
      <c r="B388" s="2" t="s">
        <v>17</v>
      </c>
      <c r="C388" s="18">
        <f>'Derived 5Y Spreads'!G388</f>
        <v>82.23904292915736</v>
      </c>
      <c r="D388" s="19">
        <f>C388-'Derived 5Y Spreads'!G381</f>
        <v>-1.4714602406633617</v>
      </c>
      <c r="E388" s="19">
        <f>C388-'Derived 5Y Spreads'!G353</f>
        <v>-3.510957070842636</v>
      </c>
      <c r="F388" s="19">
        <f>C388-'Derived 5Y Spreads'!G227</f>
        <v>2.239042929157364</v>
      </c>
      <c r="G388" s="20">
        <f>'Derived 5Y Spreads'!E388</f>
        <v>100.7547</v>
      </c>
      <c r="H388" s="27" t="str">
        <f>'Derived 5Y Spreads'!O388</f>
        <v>model-derived</v>
      </c>
      <c r="I388" s="22" t="str">
        <f>'Derived 5Y Spreads'!A388</f>
        <v>ice-20260827-480e0acc266e</v>
      </c>
      <c r="J388" s="22" t="str">
        <f>'Derived 5Y Spreads'!D388</f>
        <v>NVIDIA.SNRFOR.USD.XR14.100.2031-06-20</v>
      </c>
      <c r="K388" s="5" t="s">
        <v>12</v>
      </c>
    </row>
    <row r="389" spans="1:11" x14ac:dyDescent="0.25">
      <c r="A389" s="7">
        <v>46261</v>
      </c>
      <c r="B389" s="6" t="s">
        <v>20</v>
      </c>
      <c r="C389" s="23">
        <f>'Derived 5Y Spreads'!G389</f>
        <v>65.02430273961868</v>
      </c>
      <c r="D389" s="24">
        <f>C389-'Derived 5Y Spreads'!G382</f>
        <v>-0.5423773221569945</v>
      </c>
      <c r="E389" s="24">
        <f>C389-'Derived 5Y Spreads'!G354</f>
        <v>1.734302739618677</v>
      </c>
      <c r="F389" s="24">
        <f>C389-'Derived 5Y Spreads'!G228</f>
        <v>-1.9756972603813239</v>
      </c>
      <c r="G389" s="25">
        <f>'Derived 5Y Spreads'!E389</f>
        <v>101.4961</v>
      </c>
      <c r="H389" s="27" t="str">
        <f>'Derived 5Y Spreads'!O389</f>
        <v>model-derived</v>
      </c>
      <c r="I389" s="26" t="str">
        <f>'Derived 5Y Spreads'!A389</f>
        <v>ice-20260827-480e0acc266e</v>
      </c>
      <c r="J389" s="26" t="str">
        <f>'Derived 5Y Spreads'!D389</f>
        <v>AMZN.SNRFOR.USD.XR14.100.2031-06-20</v>
      </c>
      <c r="K389" s="9" t="s">
        <v>12</v>
      </c>
    </row>
    <row r="390" spans="1:11" x14ac:dyDescent="0.25">
      <c r="A390" s="3">
        <v>46261</v>
      </c>
      <c r="B390" s="2" t="s">
        <v>23</v>
      </c>
      <c r="C390" s="18">
        <f>'Derived 5Y Spreads'!G390</f>
        <v>58.28116517873438</v>
      </c>
      <c r="D390" s="19">
        <f>C390-'Derived 5Y Spreads'!G383</f>
        <v>-0.40707451568764697</v>
      </c>
      <c r="E390" s="19">
        <f>C390-'Derived 5Y Spreads'!G355</f>
        <v>0.031165178734383403</v>
      </c>
      <c r="F390" s="19">
        <f>C390-'Derived 5Y Spreads'!G229</f>
        <v>-7.518834821265614</v>
      </c>
      <c r="G390" s="20">
        <f>'Derived 5Y Spreads'!E390</f>
        <v>101.7892</v>
      </c>
      <c r="H390" s="27" t="str">
        <f>'Derived 5Y Spreads'!O390</f>
        <v>model-derived</v>
      </c>
      <c r="I390" s="22" t="str">
        <f>'Derived 5Y Spreads'!A390</f>
        <v>ice-20260827-480e0acc266e</v>
      </c>
      <c r="J390" s="22" t="str">
        <f>'Derived 5Y Spreads'!D390</f>
        <v>ALPHINC.SNRFOR.USD.XR14.100.2031-06-20</v>
      </c>
      <c r="K390" s="5" t="s">
        <v>12</v>
      </c>
    </row>
    <row r="391" spans="1:11" x14ac:dyDescent="0.25">
      <c r="A391" s="7">
        <v>46261</v>
      </c>
      <c r="B391" s="6" t="s">
        <v>26</v>
      </c>
      <c r="C391" s="23">
        <f>'Derived 5Y Spreads'!G391</f>
        <v>45.84642500685006</v>
      </c>
      <c r="D391" s="24">
        <f>C391-'Derived 5Y Spreads'!G384</f>
        <v>-1.2808010274555244</v>
      </c>
      <c r="E391" s="24">
        <f>C391-'Derived 5Y Spreads'!G356</f>
        <v>-1.4035749931499382</v>
      </c>
      <c r="F391" s="24">
        <f>C391-'Derived 5Y Spreads'!G230</f>
        <v>-6.153574993149938</v>
      </c>
      <c r="G391" s="25">
        <f>'Derived 5Y Spreads'!E391</f>
        <v>102.3337</v>
      </c>
      <c r="H391" s="27" t="str">
        <f>'Derived 5Y Spreads'!O391</f>
        <v>model-derived</v>
      </c>
      <c r="I391" s="26" t="str">
        <f>'Derived 5Y Spreads'!A391</f>
        <v>ice-20260827-480e0acc266e</v>
      </c>
      <c r="J391" s="26" t="str">
        <f>'Derived 5Y Spreads'!D391</f>
        <v>MSFT.SNRFOR.USD.XR14.100.2031-06-20</v>
      </c>
      <c r="K391" s="9" t="s">
        <v>12</v>
      </c>
    </row>
    <row r="392" spans="1:11" x14ac:dyDescent="0.25">
      <c r="A392" s="3">
        <v>46261</v>
      </c>
      <c r="B392" s="2" t="s">
        <v>29</v>
      </c>
      <c r="C392" s="18">
        <f>'Derived 5Y Spreads'!G392</f>
        <v>92.47486513338038</v>
      </c>
      <c r="D392" s="19">
        <f>C392-'Derived 5Y Spreads'!G385</f>
        <v>-0.20571209352307562</v>
      </c>
      <c r="E392" s="19">
        <f>C392-'Derived 5Y Spreads'!G357</f>
        <v>-1.855134866619622</v>
      </c>
      <c r="F392" s="19">
        <f>C392-'Derived 5Y Spreads'!G231</f>
        <v>-0.5251348666196236</v>
      </c>
      <c r="G392" s="20">
        <f>'Derived 5Y Spreads'!E392</f>
        <v>100.3185</v>
      </c>
      <c r="H392" s="27" t="str">
        <f>'Derived 5Y Spreads'!O392</f>
        <v>model-derived</v>
      </c>
      <c r="I392" s="22" t="str">
        <f>'Derived 5Y Spreads'!A392</f>
        <v>ice-20260827-480e0acc266e</v>
      </c>
      <c r="J392" s="22" t="str">
        <f>'Derived 5Y Spreads'!D392</f>
        <v>METAPL.SNRFOR.USD.XR14.100.2031-06-20</v>
      </c>
      <c r="K392" s="5" t="s">
        <v>12</v>
      </c>
    </row>
    <row r="393" spans="1:11" x14ac:dyDescent="0.25">
      <c r="A393" s="7">
        <v>46262</v>
      </c>
      <c r="B393" s="6" t="s">
        <v>9</v>
      </c>
      <c r="C393" s="23">
        <f>'Derived 5Y Spreads'!G393</f>
        <v>204.60780433759786</v>
      </c>
      <c r="D393" s="24">
        <f>C393-'Derived 5Y Spreads'!G386</f>
        <v>-1.5810202601651326</v>
      </c>
      <c r="E393" s="24">
        <f>C393-'Derived 5Y Spreads'!G358</f>
        <v>-9.392195662402145</v>
      </c>
      <c r="F393" s="24">
        <f>C393-'Derived 5Y Spreads'!G232</f>
        <v>-9.992195662402139</v>
      </c>
      <c r="G393" s="25">
        <f>'Derived 5Y Spreads'!E393</f>
        <v>95.7763</v>
      </c>
      <c r="H393" s="27" t="str">
        <f>'Derived 5Y Spreads'!O393</f>
        <v>model-derived</v>
      </c>
      <c r="I393" s="26" t="str">
        <f>'Derived 5Y Spreads'!A393</f>
        <v>ice-20260828-62a54378e84d</v>
      </c>
      <c r="J393" s="26" t="str">
        <f>'Derived 5Y Spreads'!D393</f>
        <v>ORCLE.SNRFOR.USD.XR14.100.2031-06-20</v>
      </c>
      <c r="K393" s="9" t="s">
        <v>12</v>
      </c>
    </row>
    <row r="394" spans="1:11" x14ac:dyDescent="0.25">
      <c r="A394" s="3">
        <v>46262</v>
      </c>
      <c r="B394" s="2" t="s">
        <v>14</v>
      </c>
      <c r="C394" s="18">
        <f>'Derived 5Y Spreads'!G394</f>
        <v>772.1233513002674</v>
      </c>
      <c r="D394" s="19">
        <f>C394-'Derived 5Y Spreads'!G387</f>
        <v>4.037276379227819</v>
      </c>
      <c r="E394" s="19">
        <f>C394-'Derived 5Y Spreads'!G359</f>
        <v>-17.87664869973264</v>
      </c>
      <c r="F394" s="19">
        <f>C394-'Derived 5Y Spreads'!G233</f>
        <v>-44.5466486997326</v>
      </c>
      <c r="G394" s="20">
        <f>'Derived 5Y Spreads'!E394</f>
        <v>91.0569</v>
      </c>
      <c r="H394" s="27" t="str">
        <f>'Derived 5Y Spreads'!O394</f>
        <v>model-derived</v>
      </c>
      <c r="I394" s="22" t="str">
        <f>'Derived 5Y Spreads'!A394</f>
        <v>ice-20260828-62a54378e84d</v>
      </c>
      <c r="J394" s="22" t="str">
        <f>'Derived 5Y Spreads'!D394</f>
        <v>COREWEI.SNRFOR.USD.XR14.500.2031-06-20</v>
      </c>
      <c r="K394" s="5" t="s">
        <v>12</v>
      </c>
    </row>
    <row r="395" spans="1:11" x14ac:dyDescent="0.25">
      <c r="A395" s="7">
        <v>46262</v>
      </c>
      <c r="B395" s="6" t="s">
        <v>17</v>
      </c>
      <c r="C395" s="23">
        <f>'Derived 5Y Spreads'!G395</f>
        <v>81.98259593132684</v>
      </c>
      <c r="D395" s="24">
        <f>C395-'Derived 5Y Spreads'!G388</f>
        <v>-0.2564469978305226</v>
      </c>
      <c r="E395" s="24">
        <f>C395-'Derived 5Y Spreads'!G360</f>
        <v>-5.017404068673159</v>
      </c>
      <c r="F395" s="24">
        <f>C395-'Derived 5Y Spreads'!G234</f>
        <v>1.3125959313268396</v>
      </c>
      <c r="G395" s="25">
        <f>'Derived 5Y Spreads'!E395</f>
        <v>100.7623</v>
      </c>
      <c r="H395" s="27" t="str">
        <f>'Derived 5Y Spreads'!O395</f>
        <v>model-derived</v>
      </c>
      <c r="I395" s="26" t="str">
        <f>'Derived 5Y Spreads'!A395</f>
        <v>ice-20260828-62a54378e84d</v>
      </c>
      <c r="J395" s="26" t="str">
        <f>'Derived 5Y Spreads'!D395</f>
        <v>NVIDIA.SNRFOR.USD.XR14.100.2031-06-20</v>
      </c>
      <c r="K395" s="9" t="s">
        <v>12</v>
      </c>
    </row>
    <row r="396" spans="1:11" x14ac:dyDescent="0.25">
      <c r="A396" s="3">
        <v>46262</v>
      </c>
      <c r="B396" s="2" t="s">
        <v>20</v>
      </c>
      <c r="C396" s="18">
        <f>'Derived 5Y Spreads'!G396</f>
        <v>64.82701577990112</v>
      </c>
      <c r="D396" s="19">
        <f>C396-'Derived 5Y Spreads'!G389</f>
        <v>-0.19728695971755883</v>
      </c>
      <c r="E396" s="19">
        <f>C396-'Derived 5Y Spreads'!G361</f>
        <v>-0.1729842200988827</v>
      </c>
      <c r="F396" s="19">
        <f>C396-'Derived 5Y Spreads'!G235</f>
        <v>-2.8429842200988844</v>
      </c>
      <c r="G396" s="20">
        <f>'Derived 5Y Spreads'!E396</f>
        <v>101.498</v>
      </c>
      <c r="H396" s="27" t="str">
        <f>'Derived 5Y Spreads'!O396</f>
        <v>model-derived</v>
      </c>
      <c r="I396" s="22" t="str">
        <f>'Derived 5Y Spreads'!A396</f>
        <v>ice-20260828-62a54378e84d</v>
      </c>
      <c r="J396" s="22" t="str">
        <f>'Derived 5Y Spreads'!D396</f>
        <v>AMZN.SNRFOR.USD.XR14.100.2031-06-20</v>
      </c>
      <c r="K396" s="5" t="s">
        <v>12</v>
      </c>
    </row>
    <row r="397" spans="1:11" x14ac:dyDescent="0.25">
      <c r="A397" s="7">
        <v>46262</v>
      </c>
      <c r="B397" s="6" t="s">
        <v>23</v>
      </c>
      <c r="C397" s="23">
        <f>'Derived 5Y Spreads'!G397</f>
        <v>58.10083949597112</v>
      </c>
      <c r="D397" s="24">
        <f>C397-'Derived 5Y Spreads'!G390</f>
        <v>-0.18032568276326089</v>
      </c>
      <c r="E397" s="24">
        <f>C397-'Derived 5Y Spreads'!G362</f>
        <v>-0.8991605040288775</v>
      </c>
      <c r="F397" s="24">
        <f>C397-'Derived 5Y Spreads'!G236</f>
        <v>-8.299160504028883</v>
      </c>
      <c r="G397" s="25">
        <f>'Derived 5Y Spreads'!E397</f>
        <v>101.7891</v>
      </c>
      <c r="H397" s="27" t="str">
        <f>'Derived 5Y Spreads'!O397</f>
        <v>model-derived</v>
      </c>
      <c r="I397" s="26" t="str">
        <f>'Derived 5Y Spreads'!A397</f>
        <v>ice-20260828-62a54378e84d</v>
      </c>
      <c r="J397" s="26" t="str">
        <f>'Derived 5Y Spreads'!D397</f>
        <v>ALPHINC.SNRFOR.USD.XR14.100.2031-06-20</v>
      </c>
      <c r="K397" s="9" t="s">
        <v>12</v>
      </c>
    </row>
    <row r="398" spans="1:11" x14ac:dyDescent="0.25">
      <c r="A398" s="3">
        <v>46262</v>
      </c>
      <c r="B398" s="2" t="s">
        <v>26</v>
      </c>
      <c r="C398" s="18">
        <f>'Derived 5Y Spreads'!G398</f>
        <v>45.55503229867812</v>
      </c>
      <c r="D398" s="19">
        <f>C398-'Derived 5Y Spreads'!G391</f>
        <v>-0.29139270817194074</v>
      </c>
      <c r="E398" s="19">
        <f>C398-'Derived 5Y Spreads'!G363</f>
        <v>-2.444967701321879</v>
      </c>
      <c r="F398" s="19">
        <f>C398-'Derived 5Y Spreads'!G237</f>
        <v>-7.444967701321879</v>
      </c>
      <c r="G398" s="20">
        <f>'Derived 5Y Spreads'!E398</f>
        <v>102.3361</v>
      </c>
      <c r="H398" s="27" t="str">
        <f>'Derived 5Y Spreads'!O398</f>
        <v>model-derived</v>
      </c>
      <c r="I398" s="22" t="str">
        <f>'Derived 5Y Spreads'!A398</f>
        <v>ice-20260828-62a54378e84d</v>
      </c>
      <c r="J398" s="22" t="str">
        <f>'Derived 5Y Spreads'!D398</f>
        <v>MSFT.SNRFOR.USD.XR14.100.2031-06-20</v>
      </c>
      <c r="K398" s="5" t="s">
        <v>12</v>
      </c>
    </row>
    <row r="399" spans="1:11" x14ac:dyDescent="0.25">
      <c r="A399" s="7">
        <v>46262</v>
      </c>
      <c r="B399" s="6" t="s">
        <v>29</v>
      </c>
      <c r="C399" s="23">
        <f>'Derived 5Y Spreads'!G399</f>
        <v>92.28322107586206</v>
      </c>
      <c r="D399" s="24">
        <f>C399-'Derived 5Y Spreads'!G392</f>
        <v>-0.19164405751831737</v>
      </c>
      <c r="E399" s="24">
        <f>C399-'Derived 5Y Spreads'!G364</f>
        <v>-3.716778924137941</v>
      </c>
      <c r="F399" s="24">
        <f>C399-'Derived 5Y Spreads'!G238</f>
        <v>-2.3867789241379427</v>
      </c>
      <c r="G399" s="25">
        <f>'Derived 5Y Spreads'!E399</f>
        <v>100.3252</v>
      </c>
      <c r="H399" s="27" t="str">
        <f>'Derived 5Y Spreads'!O399</f>
        <v>model-derived</v>
      </c>
      <c r="I399" s="26" t="str">
        <f>'Derived 5Y Spreads'!A399</f>
        <v>ice-20260828-62a54378e84d</v>
      </c>
      <c r="J399" s="26" t="str">
        <f>'Derived 5Y Spreads'!D399</f>
        <v>METAPL.SNRFOR.USD.XR14.100.2031-06-20</v>
      </c>
      <c r="K399" s="9" t="s">
        <v>12</v>
      </c>
    </row>
    <row r="400" spans="1:11" x14ac:dyDescent="0.25">
      <c r="A400" s="3">
        <v>46265</v>
      </c>
      <c r="B400" s="2" t="s">
        <v>9</v>
      </c>
      <c r="C400" s="18">
        <f>'Derived 5Y Spreads'!G400</f>
        <v>204.3725603696754</v>
      </c>
      <c r="D400" s="19">
        <f>C400-'Derived 5Y Spreads'!G393</f>
        <v>-0.2352439679224574</v>
      </c>
      <c r="E400" s="19">
        <f>C400-'Derived 5Y Spreads'!G365</f>
        <v>-18.928324855135173</v>
      </c>
      <c r="F400" s="19">
        <f>C400-'Derived 5Y Spreads'!G253</f>
        <v>-6.2274396303245965</v>
      </c>
      <c r="G400" s="20">
        <f>'Derived 5Y Spreads'!E400</f>
        <v>95.7863</v>
      </c>
      <c r="H400" s="27" t="str">
        <f>'Derived 5Y Spreads'!O400</f>
        <v>model-derived</v>
      </c>
      <c r="I400" s="22" t="str">
        <f>'Derived 5Y Spreads'!A400</f>
        <v>ice-20260831-97f11462974c</v>
      </c>
      <c r="J400" s="22" t="str">
        <f>'Derived 5Y Spreads'!D400</f>
        <v>ORCLE.SNRFOR.USD.XR14.100.2031-06-20</v>
      </c>
      <c r="K400" s="5" t="s">
        <v>12</v>
      </c>
    </row>
    <row r="401" spans="1:11" x14ac:dyDescent="0.25">
      <c r="A401" s="7">
        <v>46265</v>
      </c>
      <c r="B401" s="6" t="s">
        <v>14</v>
      </c>
      <c r="C401" s="23">
        <f>'Derived 5Y Spreads'!G401</f>
        <v>785.1202103787772</v>
      </c>
      <c r="D401" s="24">
        <f>C401-'Derived 5Y Spreads'!G394</f>
        <v>12.996859078509829</v>
      </c>
      <c r="E401" s="24">
        <f>C401-'Derived 5Y Spreads'!G366</f>
        <v>-21.01908878251811</v>
      </c>
      <c r="F401" s="24">
        <f>C401-'Derived 5Y Spreads'!G254</f>
        <v>-132.3797896212228</v>
      </c>
      <c r="G401" s="25">
        <f>'Derived 5Y Spreads'!E401</f>
        <v>90.6729</v>
      </c>
      <c r="H401" s="27" t="str">
        <f>'Derived 5Y Spreads'!O401</f>
        <v>model-derived</v>
      </c>
      <c r="I401" s="26" t="str">
        <f>'Derived 5Y Spreads'!A401</f>
        <v>ice-20260831-97f11462974c</v>
      </c>
      <c r="J401" s="26" t="str">
        <f>'Derived 5Y Spreads'!D401</f>
        <v>COREWEI.SNRFOR.USD.XR14.500.2031-06-20</v>
      </c>
      <c r="K401" s="9" t="s">
        <v>12</v>
      </c>
    </row>
    <row r="402" spans="1:11" x14ac:dyDescent="0.25">
      <c r="A402" s="3">
        <v>46265</v>
      </c>
      <c r="B402" s="2" t="s">
        <v>17</v>
      </c>
      <c r="C402" s="18">
        <f>'Derived 5Y Spreads'!G402</f>
        <v>82.16155524536391</v>
      </c>
      <c r="D402" s="19">
        <f>C402-'Derived 5Y Spreads'!G395</f>
        <v>0.17895931403707266</v>
      </c>
      <c r="E402" s="19">
        <f>C402-'Derived 5Y Spreads'!G367</f>
        <v>-4.913910206784223</v>
      </c>
      <c r="F402" s="19">
        <f>C402-'Derived 5Y Spreads'!G255</f>
        <v>2.161555245363914</v>
      </c>
      <c r="G402" s="20">
        <f>'Derived 5Y Spreads'!E402</f>
        <v>100.7545</v>
      </c>
      <c r="H402" s="27" t="str">
        <f>'Derived 5Y Spreads'!O402</f>
        <v>model-derived</v>
      </c>
      <c r="I402" s="22" t="str">
        <f>'Derived 5Y Spreads'!A402</f>
        <v>ice-20260831-97f11462974c</v>
      </c>
      <c r="J402" s="22" t="str">
        <f>'Derived 5Y Spreads'!D402</f>
        <v>NVIDIA.SNRFOR.USD.XR14.100.2031-06-20</v>
      </c>
      <c r="K402" s="5" t="s">
        <v>12</v>
      </c>
    </row>
    <row r="403" spans="1:11" x14ac:dyDescent="0.25">
      <c r="A403" s="7">
        <v>46265</v>
      </c>
      <c r="B403" s="6" t="s">
        <v>20</v>
      </c>
      <c r="C403" s="23">
        <f>'Derived 5Y Spreads'!G403</f>
        <v>65.5674198570739</v>
      </c>
      <c r="D403" s="24">
        <f>C403-'Derived 5Y Spreads'!G396</f>
        <v>0.7404040771727836</v>
      </c>
      <c r="E403" s="24">
        <f>C403-'Derived 5Y Spreads'!G368</f>
        <v>-0.1661353789241673</v>
      </c>
      <c r="F403" s="24">
        <f>C403-'Derived 5Y Spreads'!G256</f>
        <v>-0.43258014292609914</v>
      </c>
      <c r="G403" s="25">
        <f>'Derived 5Y Spreads'!E403</f>
        <v>101.4657</v>
      </c>
      <c r="H403" s="27" t="str">
        <f>'Derived 5Y Spreads'!O403</f>
        <v>model-derived</v>
      </c>
      <c r="I403" s="26" t="str">
        <f>'Derived 5Y Spreads'!A403</f>
        <v>ice-20260831-97f11462974c</v>
      </c>
      <c r="J403" s="26" t="str">
        <f>'Derived 5Y Spreads'!D403</f>
        <v>AMZN.SNRFOR.USD.XR14.100.2031-06-20</v>
      </c>
      <c r="K403" s="9" t="s">
        <v>12</v>
      </c>
    </row>
    <row r="404" spans="1:11" x14ac:dyDescent="0.25">
      <c r="A404" s="3">
        <v>46265</v>
      </c>
      <c r="B404" s="2" t="s">
        <v>23</v>
      </c>
      <c r="C404" s="18">
        <f>'Derived 5Y Spreads'!G404</f>
        <v>60.11421570069445</v>
      </c>
      <c r="D404" s="19">
        <f>C404-'Derived 5Y Spreads'!G397</f>
        <v>2.013376204723329</v>
      </c>
      <c r="E404" s="19">
        <f>C404-'Derived 5Y Spreads'!G369</f>
        <v>0.7055063515869477</v>
      </c>
      <c r="F404" s="19">
        <f>C404-'Derived 5Y Spreads'!G257</f>
        <v>-2.48578429930555</v>
      </c>
      <c r="G404" s="20">
        <f>'Derived 5Y Spreads'!E404</f>
        <v>101.7014</v>
      </c>
      <c r="H404" s="27" t="str">
        <f>'Derived 5Y Spreads'!O404</f>
        <v>model-derived</v>
      </c>
      <c r="I404" s="22" t="str">
        <f>'Derived 5Y Spreads'!A404</f>
        <v>ice-20260831-97f11462974c</v>
      </c>
      <c r="J404" s="22" t="str">
        <f>'Derived 5Y Spreads'!D404</f>
        <v>ALPHINC.SNRFOR.USD.XR14.100.2031-06-20</v>
      </c>
      <c r="K404" s="5" t="s">
        <v>12</v>
      </c>
    </row>
    <row r="405" spans="1:11" x14ac:dyDescent="0.25">
      <c r="A405" s="7">
        <v>46265</v>
      </c>
      <c r="B405" s="6" t="s">
        <v>26</v>
      </c>
      <c r="C405" s="23">
        <f>'Derived 5Y Spreads'!G405</f>
        <v>45.90748605993371</v>
      </c>
      <c r="D405" s="24">
        <f>C405-'Derived 5Y Spreads'!G398</f>
        <v>0.3524537612555889</v>
      </c>
      <c r="E405" s="24">
        <f>C405-'Derived 5Y Spreads'!G370</f>
        <v>-2.9967660181938314</v>
      </c>
      <c r="F405" s="24">
        <f>C405-'Derived 5Y Spreads'!G258</f>
        <v>-7.09251394006629</v>
      </c>
      <c r="G405" s="25">
        <f>'Derived 5Y Spreads'!E405</f>
        <v>102.3201</v>
      </c>
      <c r="H405" s="27" t="str">
        <f>'Derived 5Y Spreads'!O405</f>
        <v>model-derived</v>
      </c>
      <c r="I405" s="26" t="str">
        <f>'Derived 5Y Spreads'!A405</f>
        <v>ice-20260831-97f11462974c</v>
      </c>
      <c r="J405" s="26" t="str">
        <f>'Derived 5Y Spreads'!D405</f>
        <v>MSFT.SNRFOR.USD.XR14.100.2031-06-20</v>
      </c>
      <c r="K405" s="9" t="s">
        <v>12</v>
      </c>
    </row>
    <row r="406" spans="1:11" x14ac:dyDescent="0.25">
      <c r="A406" s="3">
        <v>46265</v>
      </c>
      <c r="B406" s="2" t="s">
        <v>29</v>
      </c>
      <c r="C406" s="18">
        <f>'Derived 5Y Spreads'!G406</f>
        <v>92.99394082582893</v>
      </c>
      <c r="D406" s="19">
        <f>C406-'Derived 5Y Spreads'!G399</f>
        <v>0.71071974996687</v>
      </c>
      <c r="E406" s="19">
        <f>C406-'Derived 5Y Spreads'!G371</f>
        <v>-4.0928803773082905</v>
      </c>
      <c r="F406" s="19">
        <f>C406-'Derived 5Y Spreads'!G259</f>
        <v>-1.256059174171071</v>
      </c>
      <c r="G406" s="20">
        <f>'Derived 5Y Spreads'!E406</f>
        <v>100.2951</v>
      </c>
      <c r="H406" s="27" t="str">
        <f>'Derived 5Y Spreads'!O406</f>
        <v>model-derived</v>
      </c>
      <c r="I406" s="22" t="str">
        <f>'Derived 5Y Spreads'!A406</f>
        <v>ice-20260831-97f11462974c</v>
      </c>
      <c r="J406" s="22" t="str">
        <f>'Derived 5Y Spreads'!D406</f>
        <v>METAPL.SNRFOR.USD.XR14.100.2031-06-20</v>
      </c>
      <c r="K406" s="5" t="s">
        <v>12</v>
      </c>
    </row>
    <row r="407" spans="1:11" x14ac:dyDescent="0.25">
      <c r="A407" s="7">
        <v>46267</v>
      </c>
      <c r="B407" s="6" t="s">
        <v>9</v>
      </c>
      <c r="C407" s="23">
        <f>'Derived 5Y Spreads'!G407</f>
        <v>209.76313511860334</v>
      </c>
      <c r="D407" s="24">
        <f>C407-'Derived 5Y Spreads'!G400</f>
        <v>5.390574748927946</v>
      </c>
      <c r="E407" s="24">
        <f>C407-'Derived 5Y Spreads'!G379</f>
        <v>-1.9716705023466545</v>
      </c>
      <c r="F407" s="24">
        <f>C407-'Derived 5Y Spreads'!G253</f>
        <v>-0.8368648813966502</v>
      </c>
      <c r="G407" s="25">
        <f>'Derived 5Y Spreads'!E407</f>
        <v>95.5865</v>
      </c>
      <c r="H407" s="27" t="str">
        <f>'Derived 5Y Spreads'!O407</f>
        <v>model-derived</v>
      </c>
      <c r="I407" s="26" t="str">
        <f>'Derived 5Y Spreads'!A407</f>
        <v>ice-20260902-4ae5ad3609f5</v>
      </c>
      <c r="J407" s="26" t="str">
        <f>'Derived 5Y Spreads'!D407</f>
        <v>ORCLE.SNRFOR.USD.XR14.100.2031-06-20</v>
      </c>
      <c r="K407" s="9" t="s">
        <v>12</v>
      </c>
    </row>
    <row r="408" spans="1:11" x14ac:dyDescent="0.25">
      <c r="A408" s="3">
        <v>46267</v>
      </c>
      <c r="B408" s="2" t="s">
        <v>14</v>
      </c>
      <c r="C408" s="18">
        <f>'Derived 5Y Spreads'!G408</f>
        <v>824.4015925860327</v>
      </c>
      <c r="D408" s="19">
        <f>C408-'Derived 5Y Spreads'!G401</f>
        <v>39.28138220725555</v>
      </c>
      <c r="E408" s="19">
        <f>C408-'Derived 5Y Spreads'!G380</f>
        <v>42.43830455509158</v>
      </c>
      <c r="F408" s="19">
        <f>C408-'Derived 5Y Spreads'!G254</f>
        <v>-93.09840741396727</v>
      </c>
      <c r="G408" s="20">
        <f>'Derived 5Y Spreads'!E408</f>
        <v>89.5483</v>
      </c>
      <c r="H408" s="27" t="str">
        <f>'Derived 5Y Spreads'!O408</f>
        <v>model-derived</v>
      </c>
      <c r="I408" s="22" t="str">
        <f>'Derived 5Y Spreads'!A408</f>
        <v>ice-20260902-4ae5ad3609f5</v>
      </c>
      <c r="J408" s="22" t="str">
        <f>'Derived 5Y Spreads'!D408</f>
        <v>COREWEI.SNRFOR.USD.XR14.500.2031-06-20</v>
      </c>
      <c r="K408" s="5" t="s">
        <v>12</v>
      </c>
    </row>
    <row r="409" spans="1:11" x14ac:dyDescent="0.25">
      <c r="A409" s="7">
        <v>46267</v>
      </c>
      <c r="B409" s="6" t="s">
        <v>17</v>
      </c>
      <c r="C409" s="23">
        <f>'Derived 5Y Spreads'!G409</f>
        <v>83.00979710912543</v>
      </c>
      <c r="D409" s="24">
        <f>C409-'Derived 5Y Spreads'!G402</f>
        <v>0.8482418637615154</v>
      </c>
      <c r="E409" s="24">
        <f>C409-'Derived 5Y Spreads'!G381</f>
        <v>-0.7007060606952962</v>
      </c>
      <c r="F409" s="24">
        <f>C409-'Derived 5Y Spreads'!G255</f>
        <v>3.0097971091254294</v>
      </c>
      <c r="G409" s="25">
        <f>'Derived 5Y Spreads'!E409</f>
        <v>100.7169</v>
      </c>
      <c r="H409" s="27" t="str">
        <f>'Derived 5Y Spreads'!O409</f>
        <v>model-derived</v>
      </c>
      <c r="I409" s="26" t="str">
        <f>'Derived 5Y Spreads'!A409</f>
        <v>ice-20260902-4ae5ad3609f5</v>
      </c>
      <c r="J409" s="26" t="str">
        <f>'Derived 5Y Spreads'!D409</f>
        <v>NVIDIA.SNRFOR.USD.XR14.100.2031-06-20</v>
      </c>
      <c r="K409" s="9" t="s">
        <v>12</v>
      </c>
    </row>
    <row r="410" spans="1:11" x14ac:dyDescent="0.25">
      <c r="A410" s="3">
        <v>46267</v>
      </c>
      <c r="B410" s="2" t="s">
        <v>20</v>
      </c>
      <c r="C410" s="18">
        <f>'Derived 5Y Spreads'!G410</f>
        <v>65.8984822534474</v>
      </c>
      <c r="D410" s="19">
        <f>C410-'Derived 5Y Spreads'!G403</f>
        <v>0.3310623963734969</v>
      </c>
      <c r="E410" s="19">
        <f>C410-'Derived 5Y Spreads'!G382</f>
        <v>0.3318021916717271</v>
      </c>
      <c r="F410" s="19">
        <f>C410-'Derived 5Y Spreads'!G256</f>
        <v>-0.10151774655260226</v>
      </c>
      <c r="G410" s="20">
        <f>'Derived 5Y Spreads'!E410</f>
        <v>101.4484</v>
      </c>
      <c r="H410" s="27" t="str">
        <f>'Derived 5Y Spreads'!O410</f>
        <v>model-derived</v>
      </c>
      <c r="I410" s="22" t="str">
        <f>'Derived 5Y Spreads'!A410</f>
        <v>ice-20260902-4ae5ad3609f5</v>
      </c>
      <c r="J410" s="22" t="str">
        <f>'Derived 5Y Spreads'!D410</f>
        <v>AMZN.SNRFOR.USD.XR14.100.2031-06-20</v>
      </c>
      <c r="K410" s="5" t="s">
        <v>12</v>
      </c>
    </row>
    <row r="411" spans="1:11" x14ac:dyDescent="0.25">
      <c r="A411" s="7">
        <v>46267</v>
      </c>
      <c r="B411" s="6" t="s">
        <v>23</v>
      </c>
      <c r="C411" s="23">
        <f>'Derived 5Y Spreads'!G411</f>
        <v>60.30049810021958</v>
      </c>
      <c r="D411" s="24">
        <f>C411-'Derived 5Y Spreads'!G404</f>
        <v>0.18628239952512615</v>
      </c>
      <c r="E411" s="24">
        <f>C411-'Derived 5Y Spreads'!G383</f>
        <v>1.6122584057975473</v>
      </c>
      <c r="F411" s="24">
        <f>C411-'Derived 5Y Spreads'!G257</f>
        <v>-2.2995018997804237</v>
      </c>
      <c r="G411" s="25">
        <f>'Derived 5Y Spreads'!E411</f>
        <v>101.6898</v>
      </c>
      <c r="H411" s="27" t="str">
        <f>'Derived 5Y Spreads'!O411</f>
        <v>model-derived</v>
      </c>
      <c r="I411" s="26" t="str">
        <f>'Derived 5Y Spreads'!A411</f>
        <v>ice-20260902-4ae5ad3609f5</v>
      </c>
      <c r="J411" s="26" t="str">
        <f>'Derived 5Y Spreads'!D411</f>
        <v>ALPHINC.SNRFOR.USD.XR14.100.2031-06-20</v>
      </c>
      <c r="K411" s="9" t="s">
        <v>12</v>
      </c>
    </row>
    <row r="412" spans="1:11" x14ac:dyDescent="0.25">
      <c r="A412" s="3">
        <v>46267</v>
      </c>
      <c r="B412" s="2" t="s">
        <v>26</v>
      </c>
      <c r="C412" s="18">
        <f>'Derived 5Y Spreads'!G412</f>
        <v>46.128114323074</v>
      </c>
      <c r="D412" s="19">
        <f>C412-'Derived 5Y Spreads'!G405</f>
        <v>0.22062826314029138</v>
      </c>
      <c r="E412" s="19">
        <f>C412-'Derived 5Y Spreads'!G384</f>
        <v>-0.9991117112315848</v>
      </c>
      <c r="F412" s="19">
        <f>C412-'Derived 5Y Spreads'!G258</f>
        <v>-6.871885676925999</v>
      </c>
      <c r="G412" s="20">
        <f>'Derived 5Y Spreads'!E412</f>
        <v>102.3056</v>
      </c>
      <c r="H412" s="27" t="str">
        <f>'Derived 5Y Spreads'!O412</f>
        <v>model-derived</v>
      </c>
      <c r="I412" s="22" t="str">
        <f>'Derived 5Y Spreads'!A412</f>
        <v>ice-20260902-4ae5ad3609f5</v>
      </c>
      <c r="J412" s="22" t="str">
        <f>'Derived 5Y Spreads'!D412</f>
        <v>MSFT.SNRFOR.USD.XR14.100.2031-06-20</v>
      </c>
      <c r="K412" s="5" t="s">
        <v>12</v>
      </c>
    </row>
    <row r="413" spans="1:11" x14ac:dyDescent="0.25">
      <c r="A413" s="7">
        <v>46267</v>
      </c>
      <c r="B413" s="6" t="s">
        <v>29</v>
      </c>
      <c r="C413" s="23">
        <f>'Derived 5Y Spreads'!G413</f>
        <v>92.03076426894833</v>
      </c>
      <c r="D413" s="24">
        <f>C413-'Derived 5Y Spreads'!G406</f>
        <v>-0.9631765568805974</v>
      </c>
      <c r="E413" s="24">
        <f>C413-'Derived 5Y Spreads'!G385</f>
        <v>-0.6498129579551204</v>
      </c>
      <c r="F413" s="24">
        <f>C413-'Derived 5Y Spreads'!G259</f>
        <v>-2.2192357310516684</v>
      </c>
      <c r="G413" s="25">
        <f>'Derived 5Y Spreads'!E413</f>
        <v>100.3351</v>
      </c>
      <c r="H413" s="27" t="str">
        <f>'Derived 5Y Spreads'!O413</f>
        <v>model-derived</v>
      </c>
      <c r="I413" s="26" t="str">
        <f>'Derived 5Y Spreads'!A413</f>
        <v>ice-20260902-4ae5ad3609f5</v>
      </c>
      <c r="J413" s="26" t="str">
        <f>'Derived 5Y Spreads'!D413</f>
        <v>METAPL.SNRFOR.USD.XR14.100.2031-06-20</v>
      </c>
      <c r="K413" s="9" t="s">
        <v>12</v>
      </c>
    </row>
    <row r="414" spans="1:11" x14ac:dyDescent="0.25">
      <c r="A414" s="3">
        <v>46268</v>
      </c>
      <c r="B414" s="2" t="s">
        <v>9</v>
      </c>
      <c r="C414" s="18">
        <f>'Derived 5Y Spreads'!G414</f>
        <v>205.87460749072747</v>
      </c>
      <c r="D414" s="19">
        <f>C414-'Derived 5Y Spreads'!G407</f>
        <v>-3.888527627875874</v>
      </c>
      <c r="E414" s="19">
        <f>C414-'Derived 5Y Spreads'!G386</f>
        <v>-0.31421710703551753</v>
      </c>
      <c r="F414" s="19">
        <f>C414-'Derived 5Y Spreads'!G260</f>
        <v>4.87460749072747</v>
      </c>
      <c r="G414" s="20">
        <f>'Derived 5Y Spreads'!E414</f>
        <v>95.7349</v>
      </c>
      <c r="H414" s="27" t="str">
        <f>'Derived 5Y Spreads'!O414</f>
        <v>model-derived</v>
      </c>
      <c r="I414" s="22" t="str">
        <f>'Derived 5Y Spreads'!A414</f>
        <v>ice-20260903-fd3c6e1b5518</v>
      </c>
      <c r="J414" s="22" t="str">
        <f>'Derived 5Y Spreads'!D414</f>
        <v>ORCLE.SNRFOR.USD.XR14.100.2031-06-20</v>
      </c>
      <c r="K414" s="5" t="s">
        <v>12</v>
      </c>
    </row>
    <row r="415" spans="1:11" x14ac:dyDescent="0.25">
      <c r="A415" s="7">
        <v>46268</v>
      </c>
      <c r="B415" s="6" t="s">
        <v>14</v>
      </c>
      <c r="C415" s="23">
        <f>'Derived 5Y Spreads'!G415</f>
        <v>808.6532203565505</v>
      </c>
      <c r="D415" s="24">
        <f>C415-'Derived 5Y Spreads'!G408</f>
        <v>-15.748372229482243</v>
      </c>
      <c r="E415" s="24">
        <f>C415-'Derived 5Y Spreads'!G387</f>
        <v>40.56714543551095</v>
      </c>
      <c r="F415" s="24">
        <f>C415-'Derived 5Y Spreads'!G261</f>
        <v>-11.346779643449509</v>
      </c>
      <c r="G415" s="25">
        <f>'Derived 5Y Spreads'!E415</f>
        <v>89.997</v>
      </c>
      <c r="H415" s="27" t="str">
        <f>'Derived 5Y Spreads'!O415</f>
        <v>model-derived</v>
      </c>
      <c r="I415" s="26" t="str">
        <f>'Derived 5Y Spreads'!A415</f>
        <v>ice-20260903-fd3c6e1b5518</v>
      </c>
      <c r="J415" s="26" t="str">
        <f>'Derived 5Y Spreads'!D415</f>
        <v>COREWEI.SNRFOR.USD.XR14.500.2031-06-20</v>
      </c>
      <c r="K415" s="9" t="s">
        <v>12</v>
      </c>
    </row>
    <row r="416" spans="1:11" x14ac:dyDescent="0.25">
      <c r="A416" s="3">
        <v>46268</v>
      </c>
      <c r="B416" s="2" t="s">
        <v>17</v>
      </c>
      <c r="C416" s="18">
        <f>'Derived 5Y Spreads'!G416</f>
        <v>81.31099894299759</v>
      </c>
      <c r="D416" s="19">
        <f>C416-'Derived 5Y Spreads'!G409</f>
        <v>-1.698798166127844</v>
      </c>
      <c r="E416" s="19">
        <f>C416-'Derived 5Y Spreads'!G388</f>
        <v>-0.9280439861597785</v>
      </c>
      <c r="F416" s="19">
        <f>C416-'Derived 5Y Spreads'!G262</f>
        <v>7.3109989429975855</v>
      </c>
      <c r="G416" s="20">
        <f>'Derived 5Y Spreads'!E416</f>
        <v>100.7894</v>
      </c>
      <c r="H416" s="27" t="str">
        <f>'Derived 5Y Spreads'!O416</f>
        <v>model-derived</v>
      </c>
      <c r="I416" s="22" t="str">
        <f>'Derived 5Y Spreads'!A416</f>
        <v>ice-20260903-fd3c6e1b5518</v>
      </c>
      <c r="J416" s="22" t="str">
        <f>'Derived 5Y Spreads'!D416</f>
        <v>NVIDIA.SNRFOR.USD.XR14.100.2031-06-20</v>
      </c>
      <c r="K416" s="5" t="s">
        <v>12</v>
      </c>
    </row>
    <row r="417" spans="1:11" x14ac:dyDescent="0.25">
      <c r="A417" s="7">
        <v>46268</v>
      </c>
      <c r="B417" s="6" t="s">
        <v>20</v>
      </c>
      <c r="C417" s="23">
        <f>'Derived 5Y Spreads'!G417</f>
        <v>64.16795867478342</v>
      </c>
      <c r="D417" s="24">
        <f>C417-'Derived 5Y Spreads'!G410</f>
        <v>-1.730523578663977</v>
      </c>
      <c r="E417" s="24">
        <f>C417-'Derived 5Y Spreads'!G389</f>
        <v>-0.8563440648352554</v>
      </c>
      <c r="F417" s="24">
        <f>C417-'Derived 5Y Spreads'!G263</f>
        <v>7.167958674783421</v>
      </c>
      <c r="G417" s="25">
        <f>'Derived 5Y Spreads'!E417</f>
        <v>101.5235</v>
      </c>
      <c r="H417" s="27" t="str">
        <f>'Derived 5Y Spreads'!O417</f>
        <v>model-derived</v>
      </c>
      <c r="I417" s="26" t="str">
        <f>'Derived 5Y Spreads'!A417</f>
        <v>ice-20260903-fd3c6e1b5518</v>
      </c>
      <c r="J417" s="26" t="str">
        <f>'Derived 5Y Spreads'!D417</f>
        <v>AMZN.SNRFOR.USD.XR14.100.2031-06-20</v>
      </c>
      <c r="K417" s="9" t="s">
        <v>12</v>
      </c>
    </row>
    <row r="418" spans="1:11" x14ac:dyDescent="0.25">
      <c r="A418" s="3">
        <v>46268</v>
      </c>
      <c r="B418" s="2" t="s">
        <v>23</v>
      </c>
      <c r="C418" s="18">
        <f>'Derived 5Y Spreads'!G418</f>
        <v>58.82669415653371</v>
      </c>
      <c r="D418" s="19">
        <f>C418-'Derived 5Y Spreads'!G411</f>
        <v>-1.4738039436858656</v>
      </c>
      <c r="E418" s="19">
        <f>C418-'Derived 5Y Spreads'!G390</f>
        <v>0.5455289777993286</v>
      </c>
      <c r="F418" s="19">
        <f>C418-'Derived 5Y Spreads'!G264</f>
        <v>2.826694156533712</v>
      </c>
      <c r="G418" s="20">
        <f>'Derived 5Y Spreads'!E418</f>
        <v>101.7542</v>
      </c>
      <c r="H418" s="27" t="str">
        <f>'Derived 5Y Spreads'!O418</f>
        <v>model-derived</v>
      </c>
      <c r="I418" s="22" t="str">
        <f>'Derived 5Y Spreads'!A418</f>
        <v>ice-20260903-fd3c6e1b5518</v>
      </c>
      <c r="J418" s="22" t="str">
        <f>'Derived 5Y Spreads'!D418</f>
        <v>ALPHINC.SNRFOR.USD.XR14.100.2031-06-20</v>
      </c>
      <c r="K418" s="5" t="s">
        <v>12</v>
      </c>
    </row>
    <row r="419" spans="1:11" x14ac:dyDescent="0.25">
      <c r="A419" s="7">
        <v>46268</v>
      </c>
      <c r="B419" s="6" t="s">
        <v>26</v>
      </c>
      <c r="C419" s="23">
        <f>'Derived 5Y Spreads'!G419</f>
        <v>45.004698800992536</v>
      </c>
      <c r="D419" s="24">
        <f>C419-'Derived 5Y Spreads'!G412</f>
        <v>-1.1234155220814657</v>
      </c>
      <c r="E419" s="24">
        <f>C419-'Derived 5Y Spreads'!G391</f>
        <v>-0.8417262058575261</v>
      </c>
      <c r="F419" s="24">
        <f>C419-'Derived 5Y Spreads'!G265</f>
        <v>-1.9953011990074643</v>
      </c>
      <c r="G419" s="25">
        <f>'Derived 5Y Spreads'!E419</f>
        <v>102.3556</v>
      </c>
      <c r="H419" s="27" t="str">
        <f>'Derived 5Y Spreads'!O419</f>
        <v>model-derived</v>
      </c>
      <c r="I419" s="26" t="str">
        <f>'Derived 5Y Spreads'!A419</f>
        <v>ice-20260903-fd3c6e1b5518</v>
      </c>
      <c r="J419" s="26" t="str">
        <f>'Derived 5Y Spreads'!D419</f>
        <v>MSFT.SNRFOR.USD.XR14.100.2031-06-20</v>
      </c>
      <c r="K419" s="9" t="s">
        <v>12</v>
      </c>
    </row>
    <row r="420" spans="1:11" x14ac:dyDescent="0.25">
      <c r="A420" s="3">
        <v>46268</v>
      </c>
      <c r="B420" s="2" t="s">
        <v>29</v>
      </c>
      <c r="C420" s="18">
        <f>'Derived 5Y Spreads'!G420</f>
        <v>90.43979877585194</v>
      </c>
      <c r="D420" s="19">
        <f>C420-'Derived 5Y Spreads'!G413</f>
        <v>-1.590965493096391</v>
      </c>
      <c r="E420" s="19">
        <f>C420-'Derived 5Y Spreads'!G392</f>
        <v>-2.035066357528436</v>
      </c>
      <c r="F420" s="19">
        <f>C420-'Derived 5Y Spreads'!G266</f>
        <v>7.439798775851941</v>
      </c>
      <c r="G420" s="20">
        <f>'Derived 5Y Spreads'!E420</f>
        <v>100.4024</v>
      </c>
      <c r="H420" s="27" t="str">
        <f>'Derived 5Y Spreads'!O420</f>
        <v>model-derived</v>
      </c>
      <c r="I420" s="22" t="str">
        <f>'Derived 5Y Spreads'!A420</f>
        <v>ice-20260903-fd3c6e1b5518</v>
      </c>
      <c r="J420" s="22" t="str">
        <f>'Derived 5Y Spreads'!D420</f>
        <v>METAPL.SNRFOR.USD.XR14.100.2031-06-20</v>
      </c>
      <c r="K420" s="5" t="s">
        <v>12</v>
      </c>
    </row>
    <row r="421" spans="1:11" x14ac:dyDescent="0.25">
      <c r="A421" s="7">
        <v>46269</v>
      </c>
      <c r="B421" s="6" t="s">
        <v>9</v>
      </c>
      <c r="C421" s="23">
        <f>'Derived 5Y Spreads'!G421</f>
        <v>201.85865970787032</v>
      </c>
      <c r="D421" s="24">
        <f>C421-'Derived 5Y Spreads'!G414</f>
        <v>-4.015947782857154</v>
      </c>
      <c r="E421" s="24">
        <f>C421-'Derived 5Y Spreads'!G393</f>
        <v>-2.749144629727539</v>
      </c>
      <c r="F421" s="24">
        <f>C421-'Derived 5Y Spreads'!G267</f>
        <v>4.858659707870316</v>
      </c>
      <c r="G421" s="25">
        <f>'Derived 5Y Spreads'!E421</f>
        <v>95.9002</v>
      </c>
      <c r="H421" s="27" t="str">
        <f>'Derived 5Y Spreads'!O421</f>
        <v>model-derived</v>
      </c>
      <c r="I421" s="26" t="str">
        <f>'Derived 5Y Spreads'!A421</f>
        <v>ice-20260904-5617a923de2f</v>
      </c>
      <c r="J421" s="26" t="str">
        <f>'Derived 5Y Spreads'!D421</f>
        <v>ORCLE.SNRFOR.USD.XR14.100.2031-06-20</v>
      </c>
      <c r="K421" s="9" t="s">
        <v>12</v>
      </c>
    </row>
    <row r="422" spans="1:11" x14ac:dyDescent="0.25">
      <c r="A422" s="3">
        <v>46269</v>
      </c>
      <c r="B422" s="2" t="s">
        <v>14</v>
      </c>
      <c r="C422" s="18">
        <f>'Derived 5Y Spreads'!G422</f>
        <v>805.768110774567</v>
      </c>
      <c r="D422" s="19">
        <f>C422-'Derived 5Y Spreads'!G415</f>
        <v>-2.8851095819834427</v>
      </c>
      <c r="E422" s="19">
        <f>C422-'Derived 5Y Spreads'!G394</f>
        <v>33.64475947429969</v>
      </c>
      <c r="F422" s="19">
        <f>C422-'Derived 5Y Spreads'!G268</f>
        <v>22.438110774567008</v>
      </c>
      <c r="G422" s="20">
        <f>'Derived 5Y Spreads'!E422</f>
        <v>90.1002</v>
      </c>
      <c r="H422" s="27" t="str">
        <f>'Derived 5Y Spreads'!O422</f>
        <v>model-derived</v>
      </c>
      <c r="I422" s="22" t="str">
        <f>'Derived 5Y Spreads'!A422</f>
        <v>ice-20260904-5617a923de2f</v>
      </c>
      <c r="J422" s="22" t="str">
        <f>'Derived 5Y Spreads'!D422</f>
        <v>COREWEI.SNRFOR.USD.XR14.500.2031-06-20</v>
      </c>
      <c r="K422" s="5" t="s">
        <v>12</v>
      </c>
    </row>
    <row r="423" spans="1:11" x14ac:dyDescent="0.25">
      <c r="A423" s="7">
        <v>46269</v>
      </c>
      <c r="B423" s="6" t="s">
        <v>17</v>
      </c>
      <c r="C423" s="23">
        <f>'Derived 5Y Spreads'!G423</f>
        <v>80.94251930469856</v>
      </c>
      <c r="D423" s="24">
        <f>C423-'Derived 5Y Spreads'!G416</f>
        <v>-0.3684796382990214</v>
      </c>
      <c r="E423" s="24">
        <f>C423-'Derived 5Y Spreads'!G395</f>
        <v>-1.0400766266282773</v>
      </c>
      <c r="F423" s="24">
        <f>C423-'Derived 5Y Spreads'!G269</f>
        <v>8.942519304698564</v>
      </c>
      <c r="G423" s="25">
        <f>'Derived 5Y Spreads'!E423</f>
        <v>100.8031</v>
      </c>
      <c r="H423" s="27" t="str">
        <f>'Derived 5Y Spreads'!O423</f>
        <v>model-derived</v>
      </c>
      <c r="I423" s="26" t="str">
        <f>'Derived 5Y Spreads'!A423</f>
        <v>ice-20260904-5617a923de2f</v>
      </c>
      <c r="J423" s="26" t="str">
        <f>'Derived 5Y Spreads'!D423</f>
        <v>NVIDIA.SNRFOR.USD.XR14.100.2031-06-20</v>
      </c>
      <c r="K423" s="9" t="s">
        <v>12</v>
      </c>
    </row>
    <row r="424" spans="1:11" x14ac:dyDescent="0.25">
      <c r="A424" s="3">
        <v>46269</v>
      </c>
      <c r="B424" s="2" t="s">
        <v>20</v>
      </c>
      <c r="C424" s="18">
        <f>'Derived 5Y Spreads'!G424</f>
        <v>62.955350344271935</v>
      </c>
      <c r="D424" s="19">
        <f>C424-'Derived 5Y Spreads'!G417</f>
        <v>-1.212608330511486</v>
      </c>
      <c r="E424" s="19">
        <f>C424-'Derived 5Y Spreads'!G396</f>
        <v>-1.8716654356291826</v>
      </c>
      <c r="F424" s="19">
        <f>C424-'Derived 5Y Spreads'!G270</f>
        <v>6.455350344271935</v>
      </c>
      <c r="G424" s="20">
        <f>'Derived 5Y Spreads'!E424</f>
        <v>101.5719</v>
      </c>
      <c r="H424" s="27" t="str">
        <f>'Derived 5Y Spreads'!O424</f>
        <v>model-derived</v>
      </c>
      <c r="I424" s="22" t="str">
        <f>'Derived 5Y Spreads'!A424</f>
        <v>ice-20260904-5617a923de2f</v>
      </c>
      <c r="J424" s="22" t="str">
        <f>'Derived 5Y Spreads'!D424</f>
        <v>AMZN.SNRFOR.USD.XR14.100.2031-06-20</v>
      </c>
      <c r="K424" s="5" t="s">
        <v>12</v>
      </c>
    </row>
    <row r="425" spans="1:11" x14ac:dyDescent="0.25">
      <c r="A425" s="7">
        <v>46269</v>
      </c>
      <c r="B425" s="6" t="s">
        <v>23</v>
      </c>
      <c r="C425" s="23">
        <f>'Derived 5Y Spreads'!G425</f>
        <v>58.10331994667379</v>
      </c>
      <c r="D425" s="24">
        <f>C425-'Derived 5Y Spreads'!G418</f>
        <v>-0.7233742098599194</v>
      </c>
      <c r="E425" s="24">
        <f>C425-'Derived 5Y Spreads'!G397</f>
        <v>0.0024804507026701117</v>
      </c>
      <c r="F425" s="24">
        <f>C425-'Derived 5Y Spreads'!G271</f>
        <v>2.3533199466737926</v>
      </c>
      <c r="G425" s="25">
        <f>'Derived 5Y Spreads'!E425</f>
        <v>101.7811</v>
      </c>
      <c r="H425" s="27" t="str">
        <f>'Derived 5Y Spreads'!O425</f>
        <v>model-derived</v>
      </c>
      <c r="I425" s="26" t="str">
        <f>'Derived 5Y Spreads'!A425</f>
        <v>ice-20260904-5617a923de2f</v>
      </c>
      <c r="J425" s="26" t="str">
        <f>'Derived 5Y Spreads'!D425</f>
        <v>ALPHINC.SNRFOR.USD.XR14.100.2031-06-20</v>
      </c>
      <c r="K425" s="9" t="s">
        <v>12</v>
      </c>
    </row>
    <row r="426" spans="1:11" x14ac:dyDescent="0.25">
      <c r="A426" s="3">
        <v>46269</v>
      </c>
      <c r="B426" s="2" t="s">
        <v>26</v>
      </c>
      <c r="C426" s="18">
        <f>'Derived 5Y Spreads'!G426</f>
        <v>44.60024146293813</v>
      </c>
      <c r="D426" s="19">
        <f>C426-'Derived 5Y Spreads'!G419</f>
        <v>-0.40445733805440653</v>
      </c>
      <c r="E426" s="19">
        <f>C426-'Derived 5Y Spreads'!G398</f>
        <v>-0.9547908357399919</v>
      </c>
      <c r="F426" s="19">
        <f>C426-'Derived 5Y Spreads'!G272</f>
        <v>-2.149758537061871</v>
      </c>
      <c r="G426" s="20">
        <f>'Derived 5Y Spreads'!E426</f>
        <v>102.3674</v>
      </c>
      <c r="H426" s="27" t="str">
        <f>'Derived 5Y Spreads'!O426</f>
        <v>model-derived</v>
      </c>
      <c r="I426" s="22" t="str">
        <f>'Derived 5Y Spreads'!A426</f>
        <v>ice-20260904-5617a923de2f</v>
      </c>
      <c r="J426" s="22" t="str">
        <f>'Derived 5Y Spreads'!D426</f>
        <v>MSFT.SNRFOR.USD.XR14.100.2031-06-20</v>
      </c>
      <c r="K426" s="5" t="s">
        <v>12</v>
      </c>
    </row>
    <row r="427" spans="1:11" x14ac:dyDescent="0.25">
      <c r="A427" s="7">
        <v>46269</v>
      </c>
      <c r="B427" s="6" t="s">
        <v>29</v>
      </c>
      <c r="C427" s="23">
        <f>'Derived 5Y Spreads'!G427</f>
        <v>89.91344505459787</v>
      </c>
      <c r="D427" s="24">
        <f>C427-'Derived 5Y Spreads'!G420</f>
        <v>-0.5263537212540683</v>
      </c>
      <c r="E427" s="24">
        <f>C427-'Derived 5Y Spreads'!G399</f>
        <v>-2.3697760212641867</v>
      </c>
      <c r="F427" s="24">
        <f>C427-'Derived 5Y Spreads'!G273</f>
        <v>6.4834450545978655</v>
      </c>
      <c r="G427" s="25">
        <f>'Derived 5Y Spreads'!E427</f>
        <v>100.4236</v>
      </c>
      <c r="H427" s="27" t="str">
        <f>'Derived 5Y Spreads'!O427</f>
        <v>model-derived</v>
      </c>
      <c r="I427" s="26" t="str">
        <f>'Derived 5Y Spreads'!A427</f>
        <v>ice-20260904-5617a923de2f</v>
      </c>
      <c r="J427" s="26" t="str">
        <f>'Derived 5Y Spreads'!D427</f>
        <v>METAPL.SNRFOR.USD.XR14.100.2031-06-20</v>
      </c>
      <c r="K427" s="9" t="s">
        <v>12</v>
      </c>
    </row>
    <row r="428" spans="1:11" x14ac:dyDescent="0.25">
      <c r="A428" s="3">
        <v>46272</v>
      </c>
      <c r="B428" s="2" t="s">
        <v>9</v>
      </c>
      <c r="C428" s="18">
        <f>'Derived 5Y Spreads'!G428</f>
        <v>201.69691494153687</v>
      </c>
      <c r="D428" s="19">
        <f>C428-'Derived 5Y Spreads'!G421</f>
        <v>-0.1617447663334417</v>
      </c>
      <c r="E428" s="19">
        <f>C428-'Derived 5Y Spreads'!G400</f>
        <v>-2.675645428138523</v>
      </c>
      <c r="F428" s="19">
        <f>C428-'Derived 5Y Spreads'!G288</f>
        <v>11.196914941536875</v>
      </c>
      <c r="G428" s="20">
        <f>'Derived 5Y Spreads'!E428</f>
        <v>95.9089</v>
      </c>
      <c r="H428" s="27" t="str">
        <f>'Derived 5Y Spreads'!O428</f>
        <v>model-derived</v>
      </c>
      <c r="I428" s="22" t="str">
        <f>'Derived 5Y Spreads'!A428</f>
        <v>ice-20260907-76d6a3c296b4</v>
      </c>
      <c r="J428" s="22" t="str">
        <f>'Derived 5Y Spreads'!D428</f>
        <v>ORCLE.SNRFOR.USD.XR14.100.2031-06-20</v>
      </c>
      <c r="K428" s="5" t="s">
        <v>12</v>
      </c>
    </row>
    <row r="429" spans="1:11" x14ac:dyDescent="0.25">
      <c r="A429" s="7">
        <v>46272</v>
      </c>
      <c r="B429" s="6" t="s">
        <v>14</v>
      </c>
      <c r="C429" s="23">
        <f>'Derived 5Y Spreads'!G429</f>
        <v>805.3294397292314</v>
      </c>
      <c r="D429" s="24">
        <f>C429-'Derived 5Y Spreads'!G422</f>
        <v>-0.43867104533569545</v>
      </c>
      <c r="E429" s="24">
        <f>C429-'Derived 5Y Spreads'!G401</f>
        <v>20.209229350454166</v>
      </c>
      <c r="F429" s="24">
        <f>C429-'Derived 5Y Spreads'!G289</f>
        <v>82.82943972923135</v>
      </c>
      <c r="G429" s="25">
        <f>'Derived 5Y Spreads'!E429</f>
        <v>90.1177</v>
      </c>
      <c r="H429" s="27" t="str">
        <f>'Derived 5Y Spreads'!O429</f>
        <v>model-derived</v>
      </c>
      <c r="I429" s="26" t="str">
        <f>'Derived 5Y Spreads'!A429</f>
        <v>ice-20260907-76d6a3c296b4</v>
      </c>
      <c r="J429" s="26" t="str">
        <f>'Derived 5Y Spreads'!D429</f>
        <v>COREWEI.SNRFOR.USD.XR14.500.2031-06-20</v>
      </c>
      <c r="K429" s="9" t="s">
        <v>12</v>
      </c>
    </row>
    <row r="430" spans="1:11" x14ac:dyDescent="0.25">
      <c r="A430" s="3">
        <v>46272</v>
      </c>
      <c r="B430" s="2" t="s">
        <v>17</v>
      </c>
      <c r="C430" s="18">
        <f>'Derived 5Y Spreads'!G430</f>
        <v>80.9732005731751</v>
      </c>
      <c r="D430" s="19">
        <f>C430-'Derived 5Y Spreads'!G423</f>
        <v>0.030681268476541845</v>
      </c>
      <c r="E430" s="19">
        <f>C430-'Derived 5Y Spreads'!G402</f>
        <v>-1.188354672188808</v>
      </c>
      <c r="F430" s="19">
        <f>C430-'Derived 5Y Spreads'!G290</f>
        <v>10.973200573175106</v>
      </c>
      <c r="G430" s="20">
        <f>'Derived 5Y Spreads'!E430</f>
        <v>100.8013</v>
      </c>
      <c r="H430" s="27" t="str">
        <f>'Derived 5Y Spreads'!O430</f>
        <v>model-derived</v>
      </c>
      <c r="I430" s="22" t="str">
        <f>'Derived 5Y Spreads'!A430</f>
        <v>ice-20260907-76d6a3c296b4</v>
      </c>
      <c r="J430" s="22" t="str">
        <f>'Derived 5Y Spreads'!D430</f>
        <v>NVIDIA.SNRFOR.USD.XR14.100.2031-06-20</v>
      </c>
      <c r="K430" s="5" t="s">
        <v>12</v>
      </c>
    </row>
    <row r="431" spans="1:11" x14ac:dyDescent="0.25">
      <c r="A431" s="7">
        <v>46272</v>
      </c>
      <c r="B431" s="6" t="s">
        <v>20</v>
      </c>
      <c r="C431" s="23">
        <f>'Derived 5Y Spreads'!G431</f>
        <v>63.01390805695253</v>
      </c>
      <c r="D431" s="24">
        <f>C431-'Derived 5Y Spreads'!G424</f>
        <v>0.05855771268059584</v>
      </c>
      <c r="E431" s="24">
        <f>C431-'Derived 5Y Spreads'!G403</f>
        <v>-2.5535118001213704</v>
      </c>
      <c r="F431" s="24">
        <f>C431-'Derived 5Y Spreads'!G291</f>
        <v>8.01390805695253</v>
      </c>
      <c r="G431" s="25">
        <f>'Derived 5Y Spreads'!E431</f>
        <v>101.5684</v>
      </c>
      <c r="H431" s="27" t="str">
        <f>'Derived 5Y Spreads'!O431</f>
        <v>model-derived</v>
      </c>
      <c r="I431" s="26" t="str">
        <f>'Derived 5Y Spreads'!A431</f>
        <v>ice-20260907-76d6a3c296b4</v>
      </c>
      <c r="J431" s="26" t="str">
        <f>'Derived 5Y Spreads'!D431</f>
        <v>AMZN.SNRFOR.USD.XR14.100.2031-06-20</v>
      </c>
      <c r="K431" s="9" t="s">
        <v>12</v>
      </c>
    </row>
    <row r="432" spans="1:11" x14ac:dyDescent="0.25">
      <c r="A432" s="3">
        <v>46272</v>
      </c>
      <c r="B432" s="2" t="s">
        <v>23</v>
      </c>
      <c r="C432" s="18">
        <f>'Derived 5Y Spreads'!G432</f>
        <v>58.17017561990648</v>
      </c>
      <c r="D432" s="19">
        <f>C432-'Derived 5Y Spreads'!G425</f>
        <v>0.0668556732326877</v>
      </c>
      <c r="E432" s="19">
        <f>C432-'Derived 5Y Spreads'!G404</f>
        <v>-1.9440400807879712</v>
      </c>
      <c r="F432" s="19">
        <f>C432-'Derived 5Y Spreads'!G292</f>
        <v>3.1701756199064803</v>
      </c>
      <c r="G432" s="20">
        <f>'Derived 5Y Spreads'!E432</f>
        <v>101.7771</v>
      </c>
      <c r="H432" s="27" t="str">
        <f>'Derived 5Y Spreads'!O432</f>
        <v>model-derived</v>
      </c>
      <c r="I432" s="22" t="str">
        <f>'Derived 5Y Spreads'!A432</f>
        <v>ice-20260907-76d6a3c296b4</v>
      </c>
      <c r="J432" s="22" t="str">
        <f>'Derived 5Y Spreads'!D432</f>
        <v>ALPHINC.SNRFOR.USD.XR14.100.2031-06-20</v>
      </c>
      <c r="K432" s="5" t="s">
        <v>12</v>
      </c>
    </row>
    <row r="433" spans="1:11" x14ac:dyDescent="0.25">
      <c r="A433" s="7">
        <v>46272</v>
      </c>
      <c r="B433" s="6" t="s">
        <v>26</v>
      </c>
      <c r="C433" s="23">
        <f>'Derived 5Y Spreads'!G433</f>
        <v>44.68765508800775</v>
      </c>
      <c r="D433" s="24">
        <f>C433-'Derived 5Y Spreads'!G426</f>
        <v>0.08741362506962247</v>
      </c>
      <c r="E433" s="24">
        <f>C433-'Derived 5Y Spreads'!G405</f>
        <v>-1.2198309719259584</v>
      </c>
      <c r="F433" s="24">
        <f>C433-'Derived 5Y Spreads'!G293</f>
        <v>-1.3123449119922483</v>
      </c>
      <c r="G433" s="25">
        <f>'Derived 5Y Spreads'!E433</f>
        <v>102.3621</v>
      </c>
      <c r="H433" s="27" t="str">
        <f>'Derived 5Y Spreads'!O433</f>
        <v>model-derived</v>
      </c>
      <c r="I433" s="26" t="str">
        <f>'Derived 5Y Spreads'!A433</f>
        <v>ice-20260907-76d6a3c296b4</v>
      </c>
      <c r="J433" s="26" t="str">
        <f>'Derived 5Y Spreads'!D433</f>
        <v>MSFT.SNRFOR.USD.XR14.100.2031-06-20</v>
      </c>
      <c r="K433" s="9" t="s">
        <v>12</v>
      </c>
    </row>
    <row r="434" spans="1:11" x14ac:dyDescent="0.25">
      <c r="A434" s="3">
        <v>46272</v>
      </c>
      <c r="B434" s="2" t="s">
        <v>29</v>
      </c>
      <c r="C434" s="18">
        <f>'Derived 5Y Spreads'!G434</f>
        <v>89.92858507807341</v>
      </c>
      <c r="D434" s="19">
        <f>C434-'Derived 5Y Spreads'!G427</f>
        <v>0.015140023475538555</v>
      </c>
      <c r="E434" s="19">
        <f>C434-'Derived 5Y Spreads'!G406</f>
        <v>-3.0653557477555182</v>
      </c>
      <c r="F434" s="19">
        <f>C434-'Derived 5Y Spreads'!G294</f>
        <v>5.218585078073417</v>
      </c>
      <c r="G434" s="20">
        <f>'Derived 5Y Spreads'!E434</f>
        <v>100.4227</v>
      </c>
      <c r="H434" s="27" t="str">
        <f>'Derived 5Y Spreads'!O434</f>
        <v>model-derived</v>
      </c>
      <c r="I434" s="22" t="str">
        <f>'Derived 5Y Spreads'!A434</f>
        <v>ice-20260907-76d6a3c296b4</v>
      </c>
      <c r="J434" s="22" t="str">
        <f>'Derived 5Y Spreads'!D434</f>
        <v>METAPL.SNRFOR.USD.XR14.100.2031-06-20</v>
      </c>
      <c r="K434" s="5" t="s">
        <v>12</v>
      </c>
    </row>
    <row r="435" spans="1:11" x14ac:dyDescent="0.25">
      <c r="A435" s="7">
        <v>46273</v>
      </c>
      <c r="B435" s="6" t="s">
        <v>9</v>
      </c>
      <c r="C435" s="23">
        <f>'Derived 5Y Spreads'!G435</f>
        <v>196.04502084532132</v>
      </c>
      <c r="D435" s="24">
        <f>C435-'Derived 5Y Spreads'!G428</f>
        <v>-5.651894096215557</v>
      </c>
      <c r="E435" s="24">
        <f>C435-'Derived 5Y Spreads'!G400</f>
        <v>-8.32753952435408</v>
      </c>
      <c r="F435" s="24">
        <f>C435-'Derived 5Y Spreads'!G288</f>
        <v>5.545020845321318</v>
      </c>
      <c r="G435" s="25">
        <f>'Derived 5Y Spreads'!E435</f>
        <v>96.1294</v>
      </c>
      <c r="H435" s="27" t="str">
        <f>'Derived 5Y Spreads'!O435</f>
        <v>model-derived</v>
      </c>
      <c r="I435" s="26" t="str">
        <f>'Derived 5Y Spreads'!A435</f>
        <v>ice-20260908-53e55bd48bb8</v>
      </c>
      <c r="J435" s="26" t="str">
        <f>'Derived 5Y Spreads'!D435</f>
        <v>ORCLE.SNRFOR.USD.XR14.100.2031-06-20</v>
      </c>
      <c r="K435" s="9" t="s">
        <v>12</v>
      </c>
    </row>
    <row r="436" spans="1:11" x14ac:dyDescent="0.25">
      <c r="A436" s="3">
        <v>46273</v>
      </c>
      <c r="B436" s="2" t="s">
        <v>14</v>
      </c>
      <c r="C436" s="18">
        <f>'Derived 5Y Spreads'!G436</f>
        <v>772.3386931536619</v>
      </c>
      <c r="D436" s="19">
        <f>C436-'Derived 5Y Spreads'!G429</f>
        <v>-32.99074657556946</v>
      </c>
      <c r="E436" s="19">
        <f>C436-'Derived 5Y Spreads'!G401</f>
        <v>-12.781517225115294</v>
      </c>
      <c r="F436" s="19">
        <f>C436-'Derived 5Y Spreads'!G289</f>
        <v>49.83869315366189</v>
      </c>
      <c r="G436" s="20">
        <f>'Derived 5Y Spreads'!E436</f>
        <v>91.0865</v>
      </c>
      <c r="H436" s="27" t="str">
        <f>'Derived 5Y Spreads'!O436</f>
        <v>model-derived</v>
      </c>
      <c r="I436" s="22" t="str">
        <f>'Derived 5Y Spreads'!A436</f>
        <v>ice-20260908-53e55bd48bb8</v>
      </c>
      <c r="J436" s="22" t="str">
        <f>'Derived 5Y Spreads'!D436</f>
        <v>COREWEI.SNRFOR.USD.XR14.500.2031-06-20</v>
      </c>
      <c r="K436" s="5" t="s">
        <v>12</v>
      </c>
    </row>
    <row r="437" spans="1:11" x14ac:dyDescent="0.25">
      <c r="A437" s="7">
        <v>46273</v>
      </c>
      <c r="B437" s="6" t="s">
        <v>17</v>
      </c>
      <c r="C437" s="23">
        <f>'Derived 5Y Spreads'!G437</f>
        <v>81.1829871789674</v>
      </c>
      <c r="D437" s="24">
        <f>C437-'Derived 5Y Spreads'!G430</f>
        <v>0.20978660579228858</v>
      </c>
      <c r="E437" s="24">
        <f>C437-'Derived 5Y Spreads'!G402</f>
        <v>-0.9785680663965195</v>
      </c>
      <c r="F437" s="24">
        <f>C437-'Derived 5Y Spreads'!G290</f>
        <v>11.182987178967394</v>
      </c>
      <c r="G437" s="25">
        <f>'Derived 5Y Spreads'!E437</f>
        <v>100.7921</v>
      </c>
      <c r="H437" s="27" t="str">
        <f>'Derived 5Y Spreads'!O437</f>
        <v>model-derived</v>
      </c>
      <c r="I437" s="26" t="str">
        <f>'Derived 5Y Spreads'!A437</f>
        <v>ice-20260908-53e55bd48bb8</v>
      </c>
      <c r="J437" s="26" t="str">
        <f>'Derived 5Y Spreads'!D437</f>
        <v>NVIDIA.SNRFOR.USD.XR14.100.2031-06-20</v>
      </c>
      <c r="K437" s="9" t="s">
        <v>12</v>
      </c>
    </row>
    <row r="438" spans="1:11" x14ac:dyDescent="0.25">
      <c r="A438" s="3">
        <v>46273</v>
      </c>
      <c r="B438" s="2" t="s">
        <v>20</v>
      </c>
      <c r="C438" s="18">
        <f>'Derived 5Y Spreads'!G438</f>
        <v>63.24180193160861</v>
      </c>
      <c r="D438" s="19">
        <f>C438-'Derived 5Y Spreads'!G431</f>
        <v>0.22789387465608257</v>
      </c>
      <c r="E438" s="19">
        <f>C438-'Derived 5Y Spreads'!G403</f>
        <v>-2.325617925465288</v>
      </c>
      <c r="F438" s="19">
        <f>C438-'Derived 5Y Spreads'!G291</f>
        <v>8.241801931608613</v>
      </c>
      <c r="G438" s="20">
        <f>'Derived 5Y Spreads'!E438</f>
        <v>101.558</v>
      </c>
      <c r="H438" s="27" t="str">
        <f>'Derived 5Y Spreads'!O438</f>
        <v>model-derived</v>
      </c>
      <c r="I438" s="22" t="str">
        <f>'Derived 5Y Spreads'!A438</f>
        <v>ice-20260908-53e55bd48bb8</v>
      </c>
      <c r="J438" s="22" t="str">
        <f>'Derived 5Y Spreads'!D438</f>
        <v>AMZN.SNRFOR.USD.XR14.100.2031-06-20</v>
      </c>
      <c r="K438" s="5" t="s">
        <v>12</v>
      </c>
    </row>
    <row r="439" spans="1:11" x14ac:dyDescent="0.25">
      <c r="A439" s="7">
        <v>46273</v>
      </c>
      <c r="B439" s="6" t="s">
        <v>23</v>
      </c>
      <c r="C439" s="23">
        <f>'Derived 5Y Spreads'!G439</f>
        <v>59.06073177785933</v>
      </c>
      <c r="D439" s="24">
        <f>C439-'Derived 5Y Spreads'!G432</f>
        <v>0.8905561579528509</v>
      </c>
      <c r="E439" s="24">
        <f>C439-'Derived 5Y Spreads'!G404</f>
        <v>-1.0534839228351203</v>
      </c>
      <c r="F439" s="24">
        <f>C439-'Derived 5Y Spreads'!G292</f>
        <v>4.060731777859331</v>
      </c>
      <c r="G439" s="25">
        <f>'Derived 5Y Spreads'!E439</f>
        <v>101.738</v>
      </c>
      <c r="H439" s="27" t="str">
        <f>'Derived 5Y Spreads'!O439</f>
        <v>model-derived</v>
      </c>
      <c r="I439" s="26" t="str">
        <f>'Derived 5Y Spreads'!A439</f>
        <v>ice-20260908-53e55bd48bb8</v>
      </c>
      <c r="J439" s="26" t="str">
        <f>'Derived 5Y Spreads'!D439</f>
        <v>ALPHINC.SNRFOR.USD.XR14.100.2031-06-20</v>
      </c>
      <c r="K439" s="9" t="s">
        <v>12</v>
      </c>
    </row>
    <row r="440" spans="1:11" x14ac:dyDescent="0.25">
      <c r="A440" s="3">
        <v>46273</v>
      </c>
      <c r="B440" s="2" t="s">
        <v>26</v>
      </c>
      <c r="C440" s="18">
        <f>'Derived 5Y Spreads'!G440</f>
        <v>44.723892324158975</v>
      </c>
      <c r="D440" s="19">
        <f>C440-'Derived 5Y Spreads'!G433</f>
        <v>0.036237236151222874</v>
      </c>
      <c r="E440" s="19">
        <f>C440-'Derived 5Y Spreads'!G405</f>
        <v>-1.1835937357747355</v>
      </c>
      <c r="F440" s="19">
        <f>C440-'Derived 5Y Spreads'!G293</f>
        <v>-1.2761076758410255</v>
      </c>
      <c r="G440" s="20">
        <f>'Derived 5Y Spreads'!E440</f>
        <v>102.3596</v>
      </c>
      <c r="H440" s="27" t="str">
        <f>'Derived 5Y Spreads'!O440</f>
        <v>model-derived</v>
      </c>
      <c r="I440" s="22" t="str">
        <f>'Derived 5Y Spreads'!A440</f>
        <v>ice-20260908-53e55bd48bb8</v>
      </c>
      <c r="J440" s="22" t="str">
        <f>'Derived 5Y Spreads'!D440</f>
        <v>MSFT.SNRFOR.USD.XR14.100.2031-06-20</v>
      </c>
      <c r="K440" s="5" t="s">
        <v>12</v>
      </c>
    </row>
    <row r="441" spans="1:11" x14ac:dyDescent="0.25">
      <c r="A441" s="7">
        <v>46273</v>
      </c>
      <c r="B441" s="6" t="s">
        <v>29</v>
      </c>
      <c r="C441" s="23">
        <f>'Derived 5Y Spreads'!G441</f>
        <v>90.3950053389086</v>
      </c>
      <c r="D441" s="24">
        <f>C441-'Derived 5Y Spreads'!G434</f>
        <v>0.46642026083519283</v>
      </c>
      <c r="E441" s="24">
        <f>C441-'Derived 5Y Spreads'!G406</f>
        <v>-2.5989354869203254</v>
      </c>
      <c r="F441" s="24">
        <f>C441-'Derived 5Y Spreads'!G294</f>
        <v>5.68500533890861</v>
      </c>
      <c r="G441" s="25">
        <f>'Derived 5Y Spreads'!E441</f>
        <v>100.4029</v>
      </c>
      <c r="H441" s="27" t="str">
        <f>'Derived 5Y Spreads'!O441</f>
        <v>model-derived</v>
      </c>
      <c r="I441" s="26" t="str">
        <f>'Derived 5Y Spreads'!A441</f>
        <v>ice-20260908-53e55bd48bb8</v>
      </c>
      <c r="J441" s="26" t="str">
        <f>'Derived 5Y Spreads'!D441</f>
        <v>METAPL.SNRFOR.USD.XR14.100.2031-06-20</v>
      </c>
      <c r="K441" s="9" t="s">
        <v>12</v>
      </c>
    </row>
    <row r="442" spans="1:11" x14ac:dyDescent="0.25">
      <c r="A442" s="3">
        <v>46274</v>
      </c>
      <c r="B442" s="2" t="s">
        <v>9</v>
      </c>
      <c r="C442" s="18">
        <f>'Derived 5Y Spreads'!G442</f>
        <v>193.87663903903118</v>
      </c>
      <c r="D442" s="19">
        <f>C442-'Derived 5Y Spreads'!G435</f>
        <v>-2.1683818062901423</v>
      </c>
      <c r="E442" s="19">
        <f>C442-'Derived 5Y Spreads'!G407</f>
        <v>-15.886496079572169</v>
      </c>
      <c r="F442" s="19">
        <f>C442-'Derived 5Y Spreads'!G288</f>
        <v>3.3766390390311756</v>
      </c>
      <c r="G442" s="20">
        <f>'Derived 5Y Spreads'!E442</f>
        <v>96.2192</v>
      </c>
      <c r="H442" s="27" t="str">
        <f>'Derived 5Y Spreads'!O442</f>
        <v>model-derived</v>
      </c>
      <c r="I442" s="22" t="str">
        <f>'Derived 5Y Spreads'!A442</f>
        <v>ice-20260909-31d8fa71cf01</v>
      </c>
      <c r="J442" s="22" t="str">
        <f>'Derived 5Y Spreads'!D442</f>
        <v>ORCLE.SNRFOR.USD.XR14.100.2031-06-20</v>
      </c>
      <c r="K442" s="5" t="s">
        <v>12</v>
      </c>
    </row>
    <row r="443" spans="1:11" x14ac:dyDescent="0.25">
      <c r="A443" s="7">
        <v>46274</v>
      </c>
      <c r="B443" s="6" t="s">
        <v>14</v>
      </c>
      <c r="C443" s="23">
        <f>'Derived 5Y Spreads'!G443</f>
        <v>761.219074848781</v>
      </c>
      <c r="D443" s="24">
        <f>C443-'Derived 5Y Spreads'!G436</f>
        <v>-11.119618304880873</v>
      </c>
      <c r="E443" s="24">
        <f>C443-'Derived 5Y Spreads'!G408</f>
        <v>-63.182517737251715</v>
      </c>
      <c r="F443" s="24">
        <f>C443-'Derived 5Y Spreads'!G289</f>
        <v>38.71907484878102</v>
      </c>
      <c r="G443" s="25">
        <f>'Derived 5Y Spreads'!E443</f>
        <v>91.4282</v>
      </c>
      <c r="H443" s="27" t="str">
        <f>'Derived 5Y Spreads'!O443</f>
        <v>model-derived</v>
      </c>
      <c r="I443" s="26" t="str">
        <f>'Derived 5Y Spreads'!A443</f>
        <v>ice-20260909-31d8fa71cf01</v>
      </c>
      <c r="J443" s="26" t="str">
        <f>'Derived 5Y Spreads'!D443</f>
        <v>COREWEI.SNRFOR.USD.XR14.500.2031-06-20</v>
      </c>
      <c r="K443" s="9" t="s">
        <v>12</v>
      </c>
    </row>
    <row r="444" spans="1:11" x14ac:dyDescent="0.25">
      <c r="A444" s="3">
        <v>46274</v>
      </c>
      <c r="B444" s="2" t="s">
        <v>17</v>
      </c>
      <c r="C444" s="18">
        <f>'Derived 5Y Spreads'!G444</f>
        <v>79.34685871324167</v>
      </c>
      <c r="D444" s="19">
        <f>C444-'Derived 5Y Spreads'!G437</f>
        <v>-1.8361284657257215</v>
      </c>
      <c r="E444" s="19">
        <f>C444-'Derived 5Y Spreads'!G409</f>
        <v>-3.6629383958837565</v>
      </c>
      <c r="F444" s="19">
        <f>C444-'Derived 5Y Spreads'!G290</f>
        <v>9.346858713241673</v>
      </c>
      <c r="G444" s="20">
        <f>'Derived 5Y Spreads'!E444</f>
        <v>100.8687</v>
      </c>
      <c r="H444" s="27" t="str">
        <f>'Derived 5Y Spreads'!O444</f>
        <v>model-derived</v>
      </c>
      <c r="I444" s="22" t="str">
        <f>'Derived 5Y Spreads'!A444</f>
        <v>ice-20260909-31d8fa71cf01</v>
      </c>
      <c r="J444" s="22" t="str">
        <f>'Derived 5Y Spreads'!D444</f>
        <v>NVIDIA.SNRFOR.USD.XR14.100.2031-06-20</v>
      </c>
      <c r="K444" s="5" t="s">
        <v>12</v>
      </c>
    </row>
    <row r="445" spans="1:11" x14ac:dyDescent="0.25">
      <c r="A445" s="7">
        <v>46274</v>
      </c>
      <c r="B445" s="6" t="s">
        <v>20</v>
      </c>
      <c r="C445" s="23">
        <f>'Derived 5Y Spreads'!G445</f>
        <v>62.5745924845392</v>
      </c>
      <c r="D445" s="24">
        <f>C445-'Derived 5Y Spreads'!G438</f>
        <v>-0.6672094470694105</v>
      </c>
      <c r="E445" s="24">
        <f>C445-'Derived 5Y Spreads'!G410</f>
        <v>-3.323889768908195</v>
      </c>
      <c r="F445" s="24">
        <f>C445-'Derived 5Y Spreads'!G291</f>
        <v>7.5745924845392025</v>
      </c>
      <c r="G445" s="25">
        <f>'Derived 5Y Spreads'!E445</f>
        <v>101.5843</v>
      </c>
      <c r="H445" s="27" t="str">
        <f>'Derived 5Y Spreads'!O445</f>
        <v>model-derived</v>
      </c>
      <c r="I445" s="26" t="str">
        <f>'Derived 5Y Spreads'!A445</f>
        <v>ice-20260909-31d8fa71cf01</v>
      </c>
      <c r="J445" s="26" t="str">
        <f>'Derived 5Y Spreads'!D445</f>
        <v>AMZN.SNRFOR.USD.XR14.100.2031-06-20</v>
      </c>
      <c r="K445" s="9" t="s">
        <v>12</v>
      </c>
    </row>
    <row r="446" spans="1:11" x14ac:dyDescent="0.25">
      <c r="A446" s="3">
        <v>46274</v>
      </c>
      <c r="B446" s="2" t="s">
        <v>23</v>
      </c>
      <c r="C446" s="18">
        <f>'Derived 5Y Spreads'!G446</f>
        <v>59.51336564982311</v>
      </c>
      <c r="D446" s="19">
        <f>C446-'Derived 5Y Spreads'!G439</f>
        <v>0.45263387196377636</v>
      </c>
      <c r="E446" s="19">
        <f>C446-'Derived 5Y Spreads'!G411</f>
        <v>-0.7871324503964701</v>
      </c>
      <c r="F446" s="19">
        <f>C446-'Derived 5Y Spreads'!G292</f>
        <v>4.513365649823108</v>
      </c>
      <c r="G446" s="20">
        <f>'Derived 5Y Spreads'!E446</f>
        <v>101.7159</v>
      </c>
      <c r="H446" s="27" t="str">
        <f>'Derived 5Y Spreads'!O446</f>
        <v>model-derived</v>
      </c>
      <c r="I446" s="22" t="str">
        <f>'Derived 5Y Spreads'!A446</f>
        <v>ice-20260909-31d8fa71cf01</v>
      </c>
      <c r="J446" s="22" t="str">
        <f>'Derived 5Y Spreads'!D446</f>
        <v>ALPHINC.SNRFOR.USD.XR14.100.2031-06-20</v>
      </c>
      <c r="K446" s="5" t="s">
        <v>12</v>
      </c>
    </row>
    <row r="447" spans="1:11" x14ac:dyDescent="0.25">
      <c r="A447" s="7">
        <v>46274</v>
      </c>
      <c r="B447" s="6" t="s">
        <v>26</v>
      </c>
      <c r="C447" s="23">
        <f>'Derived 5Y Spreads'!G447</f>
        <v>43.982875595901604</v>
      </c>
      <c r="D447" s="24">
        <f>C447-'Derived 5Y Spreads'!G440</f>
        <v>-0.741016728257371</v>
      </c>
      <c r="E447" s="24">
        <f>C447-'Derived 5Y Spreads'!G412</f>
        <v>-2.145238727172398</v>
      </c>
      <c r="F447" s="24">
        <f>C447-'Derived 5Y Spreads'!G293</f>
        <v>-2.0171244040983964</v>
      </c>
      <c r="G447" s="25">
        <f>'Derived 5Y Spreads'!E447</f>
        <v>102.3883</v>
      </c>
      <c r="H447" s="27" t="str">
        <f>'Derived 5Y Spreads'!O447</f>
        <v>model-derived</v>
      </c>
      <c r="I447" s="26" t="str">
        <f>'Derived 5Y Spreads'!A447</f>
        <v>ice-20260909-31d8fa71cf01</v>
      </c>
      <c r="J447" s="26" t="str">
        <f>'Derived 5Y Spreads'!D447</f>
        <v>MSFT.SNRFOR.USD.XR14.100.2031-06-20</v>
      </c>
      <c r="K447" s="9" t="s">
        <v>12</v>
      </c>
    </row>
    <row r="448" spans="1:11" x14ac:dyDescent="0.25">
      <c r="A448" s="3">
        <v>46274</v>
      </c>
      <c r="B448" s="2" t="s">
        <v>29</v>
      </c>
      <c r="C448" s="18">
        <f>'Derived 5Y Spreads'!G448</f>
        <v>87.79275618213524</v>
      </c>
      <c r="D448" s="19">
        <f>C448-'Derived 5Y Spreads'!G441</f>
        <v>-2.602249156773368</v>
      </c>
      <c r="E448" s="19">
        <f>C448-'Derived 5Y Spreads'!G413</f>
        <v>-4.238008086813096</v>
      </c>
      <c r="F448" s="19">
        <f>C448-'Derived 5Y Spreads'!G294</f>
        <v>3.082756182135242</v>
      </c>
      <c r="G448" s="20">
        <f>'Derived 5Y Spreads'!E448</f>
        <v>100.5118</v>
      </c>
      <c r="H448" s="27" t="str">
        <f>'Derived 5Y Spreads'!O448</f>
        <v>model-derived</v>
      </c>
      <c r="I448" s="22" t="str">
        <f>'Derived 5Y Spreads'!A448</f>
        <v>ice-20260909-31d8fa71cf01</v>
      </c>
      <c r="J448" s="22" t="str">
        <f>'Derived 5Y Spreads'!D448</f>
        <v>METAPL.SNRFOR.USD.XR14.100.2031-06-20</v>
      </c>
      <c r="K448" s="5" t="s">
        <v>12</v>
      </c>
    </row>
    <row r="449" spans="1:11" x14ac:dyDescent="0.25">
      <c r="A449" s="7">
        <v>46275</v>
      </c>
      <c r="B449" s="6" t="s">
        <v>9</v>
      </c>
      <c r="C449" s="23">
        <f>'Derived 5Y Spreads'!G449</f>
        <v>187.60525737996275</v>
      </c>
      <c r="D449" s="24">
        <f>C449-'Derived 5Y Spreads'!G442</f>
        <v>-6.271381659068425</v>
      </c>
      <c r="E449" s="24">
        <f>C449-'Derived 5Y Spreads'!G414</f>
        <v>-18.26935011076472</v>
      </c>
      <c r="F449" s="24">
        <f>C449-'Derived 5Y Spreads'!G295</f>
        <v>-7.394742620037249</v>
      </c>
      <c r="G449" s="25">
        <f>'Derived 5Y Spreads'!E449</f>
        <v>96.4762</v>
      </c>
      <c r="H449" s="27" t="str">
        <f>'Derived 5Y Spreads'!O449</f>
        <v>model-derived</v>
      </c>
      <c r="I449" s="26" t="str">
        <f>'Derived 5Y Spreads'!A449</f>
        <v>ice-20260910-b0f1d5701828</v>
      </c>
      <c r="J449" s="26" t="str">
        <f>'Derived 5Y Spreads'!D449</f>
        <v>ORCLE.SNRFOR.USD.XR14.100.2031-06-20</v>
      </c>
      <c r="K449" s="9" t="s">
        <v>12</v>
      </c>
    </row>
    <row r="450" spans="1:11" x14ac:dyDescent="0.25">
      <c r="A450" s="3">
        <v>46275</v>
      </c>
      <c r="B450" s="2" t="s">
        <v>14</v>
      </c>
      <c r="C450" s="18">
        <f>'Derived 5Y Spreads'!G450</f>
        <v>771.1552814302004</v>
      </c>
      <c r="D450" s="19">
        <f>C450-'Derived 5Y Spreads'!G443</f>
        <v>9.936206581419356</v>
      </c>
      <c r="E450" s="19">
        <f>C450-'Derived 5Y Spreads'!G415</f>
        <v>-37.497938926350116</v>
      </c>
      <c r="F450" s="19">
        <f>C450-'Derived 5Y Spreads'!G296</f>
        <v>11.155281430200375</v>
      </c>
      <c r="G450" s="20">
        <f>'Derived 5Y Spreads'!E450</f>
        <v>91.161</v>
      </c>
      <c r="H450" s="27" t="str">
        <f>'Derived 5Y Spreads'!O450</f>
        <v>model-derived</v>
      </c>
      <c r="I450" s="22" t="str">
        <f>'Derived 5Y Spreads'!A450</f>
        <v>ice-20260910-b0f1d5701828</v>
      </c>
      <c r="J450" s="22" t="str">
        <f>'Derived 5Y Spreads'!D450</f>
        <v>COREWEI.SNRFOR.USD.XR14.500.2031-06-20</v>
      </c>
      <c r="K450" s="5" t="s">
        <v>12</v>
      </c>
    </row>
    <row r="451" spans="1:11" x14ac:dyDescent="0.25">
      <c r="A451" s="7">
        <v>46275</v>
      </c>
      <c r="B451" s="6" t="s">
        <v>17</v>
      </c>
      <c r="C451" s="23">
        <f>'Derived 5Y Spreads'!G451</f>
        <v>79.43199368904651</v>
      </c>
      <c r="D451" s="24">
        <f>C451-'Derived 5Y Spreads'!G444</f>
        <v>0.08513497580483431</v>
      </c>
      <c r="E451" s="24">
        <f>C451-'Derived 5Y Spreads'!G416</f>
        <v>-1.8790052539510782</v>
      </c>
      <c r="F451" s="24">
        <f>C451-'Derived 5Y Spreads'!G297</f>
        <v>3.4319936890465073</v>
      </c>
      <c r="G451" s="25">
        <f>'Derived 5Y Spreads'!E451</f>
        <v>100.8619</v>
      </c>
      <c r="H451" s="27" t="str">
        <f>'Derived 5Y Spreads'!O451</f>
        <v>model-derived</v>
      </c>
      <c r="I451" s="26" t="str">
        <f>'Derived 5Y Spreads'!A451</f>
        <v>ice-20260910-b0f1d5701828</v>
      </c>
      <c r="J451" s="26" t="str">
        <f>'Derived 5Y Spreads'!D451</f>
        <v>NVIDIA.SNRFOR.USD.XR14.100.2031-06-20</v>
      </c>
      <c r="K451" s="9" t="s">
        <v>12</v>
      </c>
    </row>
    <row r="452" spans="1:11" x14ac:dyDescent="0.25">
      <c r="A452" s="3">
        <v>46275</v>
      </c>
      <c r="B452" s="2" t="s">
        <v>20</v>
      </c>
      <c r="C452" s="18">
        <f>'Derived 5Y Spreads'!G452</f>
        <v>64.01618672098994</v>
      </c>
      <c r="D452" s="19">
        <f>C452-'Derived 5Y Spreads'!G445</f>
        <v>1.441594236450733</v>
      </c>
      <c r="E452" s="19">
        <f>C452-'Derived 5Y Spreads'!G417</f>
        <v>-0.15177195379348518</v>
      </c>
      <c r="F452" s="19">
        <f>C452-'Derived 5Y Spreads'!G298</f>
        <v>7.016186720989936</v>
      </c>
      <c r="G452" s="20">
        <f>'Derived 5Y Spreads'!E452</f>
        <v>101.5168</v>
      </c>
      <c r="H452" s="27" t="str">
        <f>'Derived 5Y Spreads'!O452</f>
        <v>model-derived</v>
      </c>
      <c r="I452" s="22" t="str">
        <f>'Derived 5Y Spreads'!A452</f>
        <v>ice-20260910-b0f1d5701828</v>
      </c>
      <c r="J452" s="22" t="str">
        <f>'Derived 5Y Spreads'!D452</f>
        <v>AMZN.SNRFOR.USD.XR14.100.2031-06-20</v>
      </c>
      <c r="K452" s="5" t="s">
        <v>12</v>
      </c>
    </row>
    <row r="453" spans="1:11" x14ac:dyDescent="0.25">
      <c r="A453" s="7">
        <v>46275</v>
      </c>
      <c r="B453" s="6" t="s">
        <v>23</v>
      </c>
      <c r="C453" s="23">
        <f>'Derived 5Y Spreads'!G453</f>
        <v>61.64773954215281</v>
      </c>
      <c r="D453" s="24">
        <f>C453-'Derived 5Y Spreads'!G446</f>
        <v>2.1343738923297053</v>
      </c>
      <c r="E453" s="24">
        <f>C453-'Derived 5Y Spreads'!G418</f>
        <v>2.821045385619101</v>
      </c>
      <c r="F453" s="24">
        <f>C453-'Derived 5Y Spreads'!G299</f>
        <v>8.647739542152813</v>
      </c>
      <c r="G453" s="25">
        <f>'Derived 5Y Spreads'!E453</f>
        <v>101.6181</v>
      </c>
      <c r="H453" s="27" t="str">
        <f>'Derived 5Y Spreads'!O453</f>
        <v>model-derived</v>
      </c>
      <c r="I453" s="26" t="str">
        <f>'Derived 5Y Spreads'!A453</f>
        <v>ice-20260910-b0f1d5701828</v>
      </c>
      <c r="J453" s="26" t="str">
        <f>'Derived 5Y Spreads'!D453</f>
        <v>ALPHINC.SNRFOR.USD.XR14.100.2031-06-20</v>
      </c>
      <c r="K453" s="9" t="s">
        <v>12</v>
      </c>
    </row>
    <row r="454" spans="1:11" x14ac:dyDescent="0.25">
      <c r="A454" s="3">
        <v>46275</v>
      </c>
      <c r="B454" s="2" t="s">
        <v>26</v>
      </c>
      <c r="C454" s="18">
        <f>'Derived 5Y Spreads'!G454</f>
        <v>44.16097461423796</v>
      </c>
      <c r="D454" s="19">
        <f>C454-'Derived 5Y Spreads'!G447</f>
        <v>0.17809901833635422</v>
      </c>
      <c r="E454" s="19">
        <f>C454-'Derived 5Y Spreads'!G419</f>
        <v>-0.8437241867545779</v>
      </c>
      <c r="F454" s="19">
        <f>C454-'Derived 5Y Spreads'!G300</f>
        <v>0.6609746142379578</v>
      </c>
      <c r="G454" s="20">
        <f>'Derived 5Y Spreads'!E454</f>
        <v>102.3717</v>
      </c>
      <c r="H454" s="27" t="str">
        <f>'Derived 5Y Spreads'!O454</f>
        <v>model-derived</v>
      </c>
      <c r="I454" s="22" t="str">
        <f>'Derived 5Y Spreads'!A454</f>
        <v>ice-20260910-b0f1d5701828</v>
      </c>
      <c r="J454" s="22" t="str">
        <f>'Derived 5Y Spreads'!D454</f>
        <v>MSFT.SNRFOR.USD.XR14.100.2031-06-20</v>
      </c>
      <c r="K454" s="5" t="s">
        <v>12</v>
      </c>
    </row>
    <row r="455" spans="1:11" x14ac:dyDescent="0.25">
      <c r="A455" s="7">
        <v>46275</v>
      </c>
      <c r="B455" s="6" t="s">
        <v>29</v>
      </c>
      <c r="C455" s="23">
        <f>'Derived 5Y Spreads'!G455</f>
        <v>87.01652936509014</v>
      </c>
      <c r="D455" s="24">
        <f>C455-'Derived 5Y Spreads'!G448</f>
        <v>-0.7762268170450994</v>
      </c>
      <c r="E455" s="24">
        <f>C455-'Derived 5Y Spreads'!G420</f>
        <v>-3.4232694107618045</v>
      </c>
      <c r="F455" s="24">
        <f>C455-'Derived 5Y Spreads'!G301</f>
        <v>1.0165293650901361</v>
      </c>
      <c r="G455" s="25">
        <f>'Derived 5Y Spreads'!E455</f>
        <v>100.5425</v>
      </c>
      <c r="H455" s="27" t="str">
        <f>'Derived 5Y Spreads'!O455</f>
        <v>model-derived</v>
      </c>
      <c r="I455" s="26" t="str">
        <f>'Derived 5Y Spreads'!A455</f>
        <v>ice-20260910-b0f1d5701828</v>
      </c>
      <c r="J455" s="26" t="str">
        <f>'Derived 5Y Spreads'!D455</f>
        <v>METAPL.SNRFOR.USD.XR14.100.2031-06-20</v>
      </c>
      <c r="K455" s="9" t="s">
        <v>12</v>
      </c>
    </row>
    <row r="456" spans="1:11" x14ac:dyDescent="0.25">
      <c r="A456" s="3">
        <v>46276</v>
      </c>
      <c r="B456" s="2" t="s">
        <v>9</v>
      </c>
      <c r="C456" s="18">
        <f>'Derived 5Y Spreads'!G456</f>
        <v>186.92925832177772</v>
      </c>
      <c r="D456" s="19">
        <f>C456-'Derived 5Y Spreads'!G449</f>
        <v>-0.6759990581850275</v>
      </c>
      <c r="E456" s="19">
        <f>C456-'Derived 5Y Spreads'!G421</f>
        <v>-14.929401386092593</v>
      </c>
      <c r="F456" s="19">
        <f>C456-'Derived 5Y Spreads'!G302</f>
        <v>-9.400741678222289</v>
      </c>
      <c r="G456" s="20">
        <f>'Derived 5Y Spreads'!E456</f>
        <v>96.5128</v>
      </c>
      <c r="H456" s="27" t="str">
        <f>'Derived 5Y Spreads'!O456</f>
        <v>model-derived</v>
      </c>
      <c r="I456" s="22" t="str">
        <f>'Derived 5Y Spreads'!A456</f>
        <v>ice-20260911-85d8b4e131e1</v>
      </c>
      <c r="J456" s="22" t="str">
        <f>'Derived 5Y Spreads'!D456</f>
        <v>ORCLE.SNRFOR.USD.XR14.100.2031-06-20</v>
      </c>
      <c r="K456" s="5" t="s">
        <v>12</v>
      </c>
    </row>
    <row r="457" spans="1:11" x14ac:dyDescent="0.25">
      <c r="A457" s="7">
        <v>46276</v>
      </c>
      <c r="B457" s="6" t="s">
        <v>14</v>
      </c>
      <c r="C457" s="23">
        <f>'Derived 5Y Spreads'!G457</f>
        <v>764.5609662734221</v>
      </c>
      <c r="D457" s="24">
        <f>C457-'Derived 5Y Spreads'!G450</f>
        <v>-6.594315156778293</v>
      </c>
      <c r="E457" s="24">
        <f>C457-'Derived 5Y Spreads'!G422</f>
        <v>-41.20714450114497</v>
      </c>
      <c r="F457" s="24">
        <f>C457-'Derived 5Y Spreads'!G303</f>
        <v>9.560966273422082</v>
      </c>
      <c r="G457" s="25">
        <f>'Derived 5Y Spreads'!E457</f>
        <v>91.3783</v>
      </c>
      <c r="H457" s="27" t="str">
        <f>'Derived 5Y Spreads'!O457</f>
        <v>model-derived</v>
      </c>
      <c r="I457" s="26" t="str">
        <f>'Derived 5Y Spreads'!A457</f>
        <v>ice-20260911-85d8b4e131e1</v>
      </c>
      <c r="J457" s="26" t="str">
        <f>'Derived 5Y Spreads'!D457</f>
        <v>COREWEI.SNRFOR.USD.XR14.500.2031-06-20</v>
      </c>
      <c r="K457" s="9" t="s">
        <v>12</v>
      </c>
    </row>
    <row r="458" spans="1:11" x14ac:dyDescent="0.25">
      <c r="A458" s="3">
        <v>46276</v>
      </c>
      <c r="B458" s="2" t="s">
        <v>17</v>
      </c>
      <c r="C458" s="18">
        <f>'Derived 5Y Spreads'!G458</f>
        <v>77.56402862671325</v>
      </c>
      <c r="D458" s="19">
        <f>C458-'Derived 5Y Spreads'!G451</f>
        <v>-1.8679650623332549</v>
      </c>
      <c r="E458" s="19">
        <f>C458-'Derived 5Y Spreads'!G423</f>
        <v>-3.3784906779853117</v>
      </c>
      <c r="F458" s="19">
        <f>C458-'Derived 5Y Spreads'!G304</f>
        <v>2.8940286267132507</v>
      </c>
      <c r="G458" s="20">
        <f>'Derived 5Y Spreads'!E458</f>
        <v>100.938</v>
      </c>
      <c r="H458" s="27" t="str">
        <f>'Derived 5Y Spreads'!O458</f>
        <v>model-derived</v>
      </c>
      <c r="I458" s="22" t="str">
        <f>'Derived 5Y Spreads'!A458</f>
        <v>ice-20260911-85d8b4e131e1</v>
      </c>
      <c r="J458" s="22" t="str">
        <f>'Derived 5Y Spreads'!D458</f>
        <v>NVIDIA.SNRFOR.USD.XR14.100.2031-06-20</v>
      </c>
      <c r="K458" s="5" t="s">
        <v>12</v>
      </c>
    </row>
    <row r="459" spans="1:11" x14ac:dyDescent="0.25">
      <c r="A459" s="7">
        <v>46276</v>
      </c>
      <c r="B459" s="6" t="s">
        <v>20</v>
      </c>
      <c r="C459" s="23">
        <f>'Derived 5Y Spreads'!G459</f>
        <v>63.31203886648256</v>
      </c>
      <c r="D459" s="24">
        <f>C459-'Derived 5Y Spreads'!G452</f>
        <v>-0.7041478545073758</v>
      </c>
      <c r="E459" s="24">
        <f>C459-'Derived 5Y Spreads'!G424</f>
        <v>0.3566885222106251</v>
      </c>
      <c r="F459" s="24">
        <f>C459-'Derived 5Y Spreads'!G305</f>
        <v>7.31203886648256</v>
      </c>
      <c r="G459" s="25">
        <f>'Derived 5Y Spreads'!E459</f>
        <v>101.5422</v>
      </c>
      <c r="H459" s="27" t="str">
        <f>'Derived 5Y Spreads'!O459</f>
        <v>model-derived</v>
      </c>
      <c r="I459" s="26" t="str">
        <f>'Derived 5Y Spreads'!A459</f>
        <v>ice-20260911-85d8b4e131e1</v>
      </c>
      <c r="J459" s="26" t="str">
        <f>'Derived 5Y Spreads'!D459</f>
        <v>AMZN.SNRFOR.USD.XR14.100.2031-06-20</v>
      </c>
      <c r="K459" s="9" t="s">
        <v>12</v>
      </c>
    </row>
    <row r="460" spans="1:11" x14ac:dyDescent="0.25">
      <c r="A460" s="3">
        <v>46276</v>
      </c>
      <c r="B460" s="2" t="s">
        <v>23</v>
      </c>
      <c r="C460" s="18">
        <f>'Derived 5Y Spreads'!G460</f>
        <v>61.600501382236914</v>
      </c>
      <c r="D460" s="19">
        <f>C460-'Derived 5Y Spreads'!G453</f>
        <v>-0.0472381599158993</v>
      </c>
      <c r="E460" s="19">
        <f>C460-'Derived 5Y Spreads'!G425</f>
        <v>3.497181435563121</v>
      </c>
      <c r="F460" s="19">
        <f>C460-'Derived 5Y Spreads'!G306</f>
        <v>9.270501382236915</v>
      </c>
      <c r="G460" s="20">
        <f>'Derived 5Y Spreads'!E460</f>
        <v>101.6152</v>
      </c>
      <c r="H460" s="27" t="str">
        <f>'Derived 5Y Spreads'!O460</f>
        <v>model-derived</v>
      </c>
      <c r="I460" s="22" t="str">
        <f>'Derived 5Y Spreads'!A460</f>
        <v>ice-20260911-85d8b4e131e1</v>
      </c>
      <c r="J460" s="22" t="str">
        <f>'Derived 5Y Spreads'!D460</f>
        <v>ALPHINC.SNRFOR.USD.XR14.100.2031-06-20</v>
      </c>
      <c r="K460" s="5" t="s">
        <v>12</v>
      </c>
    </row>
    <row r="461" spans="1:11" x14ac:dyDescent="0.25">
      <c r="A461" s="7">
        <v>46276</v>
      </c>
      <c r="B461" s="6" t="s">
        <v>26</v>
      </c>
      <c r="C461" s="23">
        <f>'Derived 5Y Spreads'!G461</f>
        <v>44.271103359688034</v>
      </c>
      <c r="D461" s="24">
        <f>C461-'Derived 5Y Spreads'!G454</f>
        <v>0.11012874545007634</v>
      </c>
      <c r="E461" s="24">
        <f>C461-'Derived 5Y Spreads'!G426</f>
        <v>-0.32913810325009507</v>
      </c>
      <c r="F461" s="24">
        <f>C461-'Derived 5Y Spreads'!G307</f>
        <v>1.6011033596880324</v>
      </c>
      <c r="G461" s="25">
        <f>'Derived 5Y Spreads'!E461</f>
        <v>102.3597</v>
      </c>
      <c r="H461" s="27" t="str">
        <f>'Derived 5Y Spreads'!O461</f>
        <v>model-derived</v>
      </c>
      <c r="I461" s="26" t="str">
        <f>'Derived 5Y Spreads'!A461</f>
        <v>ice-20260911-85d8b4e131e1</v>
      </c>
      <c r="J461" s="26" t="str">
        <f>'Derived 5Y Spreads'!D461</f>
        <v>MSFT.SNRFOR.USD.XR14.100.2031-06-20</v>
      </c>
      <c r="K461" s="9" t="s">
        <v>12</v>
      </c>
    </row>
    <row r="462" spans="1:11" x14ac:dyDescent="0.25">
      <c r="A462" s="3">
        <v>46276</v>
      </c>
      <c r="B462" s="2" t="s">
        <v>29</v>
      </c>
      <c r="C462" s="18">
        <f>'Derived 5Y Spreads'!G462</f>
        <v>83.72808080653539</v>
      </c>
      <c r="D462" s="19">
        <f>C462-'Derived 5Y Spreads'!G455</f>
        <v>-3.288448558554748</v>
      </c>
      <c r="E462" s="19">
        <f>C462-'Derived 5Y Spreads'!G427</f>
        <v>-6.185364248062484</v>
      </c>
      <c r="F462" s="19">
        <f>C462-'Derived 5Y Spreads'!G308</f>
        <v>-0.7719191934646119</v>
      </c>
      <c r="G462" s="20">
        <f>'Derived 5Y Spreads'!E462</f>
        <v>100.6787</v>
      </c>
      <c r="H462" s="27" t="str">
        <f>'Derived 5Y Spreads'!O462</f>
        <v>model-derived</v>
      </c>
      <c r="I462" s="22" t="str">
        <f>'Derived 5Y Spreads'!A462</f>
        <v>ice-20260911-85d8b4e131e1</v>
      </c>
      <c r="J462" s="22" t="str">
        <f>'Derived 5Y Spreads'!D462</f>
        <v>METAPL.SNRFOR.USD.XR14.100.2031-06-20</v>
      </c>
      <c r="K462" s="5" t="s">
        <v>12</v>
      </c>
    </row>
    <row r="463" spans="1:11" x14ac:dyDescent="0.25">
      <c r="A463" s="7">
        <v>46279</v>
      </c>
      <c r="B463" s="6" t="s">
        <v>9</v>
      </c>
      <c r="C463" s="23">
        <f>'Derived 5Y Spreads'!G463</f>
        <v>194.09355900573317</v>
      </c>
      <c r="D463" s="24">
        <f>C463-'Derived 5Y Spreads'!G456</f>
        <v>7.164300683955446</v>
      </c>
      <c r="E463" s="24">
        <f>C463-'Derived 5Y Spreads'!G428</f>
        <v>-7.603355935803705</v>
      </c>
      <c r="F463" s="24">
        <f>C463-'Derived 5Y Spreads'!G323</f>
        <v>-3.1564409942668306</v>
      </c>
      <c r="G463" s="25">
        <f>'Derived 5Y Spreads'!E463</f>
        <v>96.2389</v>
      </c>
      <c r="H463" s="27" t="str">
        <f>'Derived 5Y Spreads'!O463</f>
        <v>model-derived</v>
      </c>
      <c r="I463" s="26" t="str">
        <f>'Derived 5Y Spreads'!A463</f>
        <v>ice-20260914-8ebd91874b70</v>
      </c>
      <c r="J463" s="26" t="str">
        <f>'Derived 5Y Spreads'!D463</f>
        <v>ORCLE.SNRFOR.USD.XR14.100.2031-06-20</v>
      </c>
      <c r="K463" s="9" t="s">
        <v>12</v>
      </c>
    </row>
    <row r="464" spans="1:11" x14ac:dyDescent="0.25">
      <c r="A464" s="3">
        <v>46279</v>
      </c>
      <c r="B464" s="2" t="s">
        <v>14</v>
      </c>
      <c r="C464" s="18">
        <f>'Derived 5Y Spreads'!G464</f>
        <v>790.4007879692155</v>
      </c>
      <c r="D464" s="19">
        <f>C464-'Derived 5Y Spreads'!G457</f>
        <v>25.839821695793376</v>
      </c>
      <c r="E464" s="19">
        <f>C464-'Derived 5Y Spreads'!G429</f>
        <v>-14.928651760015896</v>
      </c>
      <c r="F464" s="19">
        <f>C464-'Derived 5Y Spreads'!G324</f>
        <v>50.40078796921546</v>
      </c>
      <c r="G464" s="20">
        <f>'Derived 5Y Spreads'!E464</f>
        <v>90.6268</v>
      </c>
      <c r="H464" s="27" t="str">
        <f>'Derived 5Y Spreads'!O464</f>
        <v>model-derived</v>
      </c>
      <c r="I464" s="22" t="str">
        <f>'Derived 5Y Spreads'!A464</f>
        <v>ice-20260914-8ebd91874b70</v>
      </c>
      <c r="J464" s="22" t="str">
        <f>'Derived 5Y Spreads'!D464</f>
        <v>COREWEI.SNRFOR.USD.XR14.500.2031-06-20</v>
      </c>
      <c r="K464" s="5" t="s">
        <v>12</v>
      </c>
    </row>
    <row r="465" spans="1:11" x14ac:dyDescent="0.25">
      <c r="A465" s="7">
        <v>46279</v>
      </c>
      <c r="B465" s="6" t="s">
        <v>17</v>
      </c>
      <c r="C465" s="23">
        <f>'Derived 5Y Spreads'!G465</f>
        <v>78.54064286733833</v>
      </c>
      <c r="D465" s="24">
        <f>C465-'Derived 5Y Spreads'!G458</f>
        <v>0.9766142406250822</v>
      </c>
      <c r="E465" s="24">
        <f>C465-'Derived 5Y Spreads'!G430</f>
        <v>-2.4325577058367713</v>
      </c>
      <c r="F465" s="24">
        <f>C465-'Derived 5Y Spreads'!G325</f>
        <v>4.0406428673383346</v>
      </c>
      <c r="G465" s="25">
        <f>'Derived 5Y Spreads'!E465</f>
        <v>100.896</v>
      </c>
      <c r="H465" s="27" t="str">
        <f>'Derived 5Y Spreads'!O465</f>
        <v>model-derived</v>
      </c>
      <c r="I465" s="26" t="str">
        <f>'Derived 5Y Spreads'!A465</f>
        <v>ice-20260914-8ebd91874b70</v>
      </c>
      <c r="J465" s="26" t="str">
        <f>'Derived 5Y Spreads'!D465</f>
        <v>NVIDIA.SNRFOR.USD.XR14.100.2031-06-20</v>
      </c>
      <c r="K465" s="9" t="s">
        <v>12</v>
      </c>
    </row>
    <row r="466" spans="1:11" x14ac:dyDescent="0.25">
      <c r="A466" s="3">
        <v>46279</v>
      </c>
      <c r="B466" s="2" t="s">
        <v>20</v>
      </c>
      <c r="C466" s="18">
        <f>'Derived 5Y Spreads'!G466</f>
        <v>64.33524023982447</v>
      </c>
      <c r="D466" s="19">
        <f>C466-'Derived 5Y Spreads'!G459</f>
        <v>1.0232013733419123</v>
      </c>
      <c r="E466" s="19">
        <f>C466-'Derived 5Y Spreads'!G431</f>
        <v>1.3213321828719415</v>
      </c>
      <c r="F466" s="19">
        <f>C466-'Derived 5Y Spreads'!G326</f>
        <v>11.335240239824472</v>
      </c>
      <c r="G466" s="20">
        <f>'Derived 5Y Spreads'!E466</f>
        <v>101.4972</v>
      </c>
      <c r="H466" s="27" t="str">
        <f>'Derived 5Y Spreads'!O466</f>
        <v>model-derived</v>
      </c>
      <c r="I466" s="22" t="str">
        <f>'Derived 5Y Spreads'!A466</f>
        <v>ice-20260914-8ebd91874b70</v>
      </c>
      <c r="J466" s="22" t="str">
        <f>'Derived 5Y Spreads'!D466</f>
        <v>AMZN.SNRFOR.USD.XR14.100.2031-06-20</v>
      </c>
      <c r="K466" s="5" t="s">
        <v>12</v>
      </c>
    </row>
    <row r="467" spans="1:11" x14ac:dyDescent="0.25">
      <c r="A467" s="7">
        <v>46279</v>
      </c>
      <c r="B467" s="6" t="s">
        <v>23</v>
      </c>
      <c r="C467" s="23">
        <f>'Derived 5Y Spreads'!G467</f>
        <v>62.81791832674156</v>
      </c>
      <c r="D467" s="24">
        <f>C467-'Derived 5Y Spreads'!G460</f>
        <v>1.2174169445046488</v>
      </c>
      <c r="E467" s="24">
        <f>C467-'Derived 5Y Spreads'!G432</f>
        <v>4.647742706835082</v>
      </c>
      <c r="F467" s="24">
        <f>C467-'Derived 5Y Spreads'!G327</f>
        <v>10.567918326741562</v>
      </c>
      <c r="G467" s="25">
        <f>'Derived 5Y Spreads'!E467</f>
        <v>101.5618</v>
      </c>
      <c r="H467" s="27" t="str">
        <f>'Derived 5Y Spreads'!O467</f>
        <v>model-derived</v>
      </c>
      <c r="I467" s="26" t="str">
        <f>'Derived 5Y Spreads'!A467</f>
        <v>ice-20260914-8ebd91874b70</v>
      </c>
      <c r="J467" s="26" t="str">
        <f>'Derived 5Y Spreads'!D467</f>
        <v>ALPHINC.SNRFOR.USD.XR14.100.2031-06-20</v>
      </c>
      <c r="K467" s="9" t="s">
        <v>12</v>
      </c>
    </row>
    <row r="468" spans="1:11" x14ac:dyDescent="0.25">
      <c r="A468" s="3">
        <v>46279</v>
      </c>
      <c r="B468" s="2" t="s">
        <v>26</v>
      </c>
      <c r="C468" s="18">
        <f>'Derived 5Y Spreads'!G468</f>
        <v>45.298605770977865</v>
      </c>
      <c r="D468" s="19">
        <f>C468-'Derived 5Y Spreads'!G461</f>
        <v>1.0275024112898308</v>
      </c>
      <c r="E468" s="19">
        <f>C468-'Derived 5Y Spreads'!G433</f>
        <v>0.6109506829701132</v>
      </c>
      <c r="F468" s="19">
        <f>C468-'Derived 5Y Spreads'!G328</f>
        <v>3.298605770977865</v>
      </c>
      <c r="G468" s="20">
        <f>'Derived 5Y Spreads'!E468</f>
        <v>102.3131</v>
      </c>
      <c r="H468" s="27" t="str">
        <f>'Derived 5Y Spreads'!O468</f>
        <v>model-derived</v>
      </c>
      <c r="I468" s="22" t="str">
        <f>'Derived 5Y Spreads'!A468</f>
        <v>ice-20260914-8ebd91874b70</v>
      </c>
      <c r="J468" s="22" t="str">
        <f>'Derived 5Y Spreads'!D468</f>
        <v>MSFT.SNRFOR.USD.XR14.100.2031-06-20</v>
      </c>
      <c r="K468" s="5" t="s">
        <v>12</v>
      </c>
    </row>
    <row r="469" spans="1:11" x14ac:dyDescent="0.25">
      <c r="A469" s="7">
        <v>46279</v>
      </c>
      <c r="B469" s="6" t="s">
        <v>29</v>
      </c>
      <c r="C469" s="23">
        <f>'Derived 5Y Spreads'!G469</f>
        <v>85.33578861797068</v>
      </c>
      <c r="D469" s="24">
        <f>C469-'Derived 5Y Spreads'!G462</f>
        <v>1.60770781143529</v>
      </c>
      <c r="E469" s="24">
        <f>C469-'Derived 5Y Spreads'!G434</f>
        <v>-4.592796460102733</v>
      </c>
      <c r="F469" s="24">
        <f>C469-'Derived 5Y Spreads'!G329</f>
        <v>5.335788617970678</v>
      </c>
      <c r="G469" s="25">
        <f>'Derived 5Y Spreads'!E469</f>
        <v>100.6107</v>
      </c>
      <c r="H469" s="27" t="str">
        <f>'Derived 5Y Spreads'!O469</f>
        <v>model-derived</v>
      </c>
      <c r="I469" s="26" t="str">
        <f>'Derived 5Y Spreads'!A469</f>
        <v>ice-20260914-8ebd91874b70</v>
      </c>
      <c r="J469" s="26" t="str">
        <f>'Derived 5Y Spreads'!D469</f>
        <v>METAPL.SNRFOR.USD.XR14.100.2031-06-20</v>
      </c>
      <c r="K469" s="9" t="s">
        <v>12</v>
      </c>
    </row>
    <row r="470" spans="1:11" x14ac:dyDescent="0.25">
      <c r="A470" s="3">
        <v>46280</v>
      </c>
      <c r="B470" s="2" t="s">
        <v>9</v>
      </c>
      <c r="C470" s="18">
        <f>'Derived 5Y Spreads'!G470</f>
        <v>194.9086876395612</v>
      </c>
      <c r="D470" s="19">
        <f>C470-'Derived 5Y Spreads'!G463</f>
        <v>0.8151286338280386</v>
      </c>
      <c r="E470" s="19">
        <f>C470-'Derived 5Y Spreads'!G435</f>
        <v>-1.1363332057601099</v>
      </c>
      <c r="F470" s="19">
        <f>C470-'Derived 5Y Spreads'!G323</f>
        <v>-2.341312360438792</v>
      </c>
      <c r="G470" s="20">
        <f>'Derived 5Y Spreads'!E470</f>
        <v>96.2116</v>
      </c>
      <c r="H470" s="27" t="str">
        <f>'Derived 5Y Spreads'!O470</f>
        <v>model-derived</v>
      </c>
      <c r="I470" s="22" t="str">
        <f>'Derived 5Y Spreads'!A470</f>
        <v>ice-20260915-2a9431f8d6e7</v>
      </c>
      <c r="J470" s="22" t="str">
        <f>'Derived 5Y Spreads'!D470</f>
        <v>ORCLE.SNRFOR.USD.XR14.100.2031-06-20</v>
      </c>
      <c r="K470" s="5" t="s">
        <v>12</v>
      </c>
    </row>
    <row r="471" spans="1:11" x14ac:dyDescent="0.25">
      <c r="A471" s="7">
        <v>46280</v>
      </c>
      <c r="B471" s="6" t="s">
        <v>14</v>
      </c>
      <c r="C471" s="23">
        <f>'Derived 5Y Spreads'!G471</f>
        <v>794.2982719318811</v>
      </c>
      <c r="D471" s="24">
        <f>C471-'Derived 5Y Spreads'!G464</f>
        <v>3.8974839626656603</v>
      </c>
      <c r="E471" s="24">
        <f>C471-'Derived 5Y Spreads'!G436</f>
        <v>21.959578778219225</v>
      </c>
      <c r="F471" s="24">
        <f>C471-'Derived 5Y Spreads'!G324</f>
        <v>54.29827193188112</v>
      </c>
      <c r="G471" s="25">
        <f>'Derived 5Y Spreads'!E471</f>
        <v>90.5223</v>
      </c>
      <c r="H471" s="27" t="str">
        <f>'Derived 5Y Spreads'!O471</f>
        <v>model-derived</v>
      </c>
      <c r="I471" s="26" t="str">
        <f>'Derived 5Y Spreads'!A471</f>
        <v>ice-20260915-2a9431f8d6e7</v>
      </c>
      <c r="J471" s="26" t="str">
        <f>'Derived 5Y Spreads'!D471</f>
        <v>COREWEI.SNRFOR.USD.XR14.500.2031-06-20</v>
      </c>
      <c r="K471" s="9" t="s">
        <v>12</v>
      </c>
    </row>
    <row r="472" spans="1:11" x14ac:dyDescent="0.25">
      <c r="A472" s="3">
        <v>46280</v>
      </c>
      <c r="B472" s="2" t="s">
        <v>17</v>
      </c>
      <c r="C472" s="18">
        <f>'Derived 5Y Spreads'!G472</f>
        <v>77.41597490178192</v>
      </c>
      <c r="D472" s="19">
        <f>C472-'Derived 5Y Spreads'!G465</f>
        <v>-1.1246679655564122</v>
      </c>
      <c r="E472" s="19">
        <f>C472-'Derived 5Y Spreads'!G437</f>
        <v>-3.767012277185472</v>
      </c>
      <c r="F472" s="19">
        <f>C472-'Derived 5Y Spreads'!G325</f>
        <v>2.9159749017819223</v>
      </c>
      <c r="G472" s="20">
        <f>'Derived 5Y Spreads'!E472</f>
        <v>100.9423</v>
      </c>
      <c r="H472" s="27" t="str">
        <f>'Derived 5Y Spreads'!O472</f>
        <v>model-derived</v>
      </c>
      <c r="I472" s="22" t="str">
        <f>'Derived 5Y Spreads'!A472</f>
        <v>ice-20260915-2a9431f8d6e7</v>
      </c>
      <c r="J472" s="22" t="str">
        <f>'Derived 5Y Spreads'!D472</f>
        <v>NVIDIA.SNRFOR.USD.XR14.100.2031-06-20</v>
      </c>
      <c r="K472" s="5" t="s">
        <v>12</v>
      </c>
    </row>
    <row r="473" spans="1:11" x14ac:dyDescent="0.25">
      <c r="A473" s="7">
        <v>46280</v>
      </c>
      <c r="B473" s="6" t="s">
        <v>20</v>
      </c>
      <c r="C473" s="23">
        <f>'Derived 5Y Spreads'!G473</f>
        <v>64.75664679538657</v>
      </c>
      <c r="D473" s="24">
        <f>C473-'Derived 5Y Spreads'!G466</f>
        <v>0.4214065555621005</v>
      </c>
      <c r="E473" s="24">
        <f>C473-'Derived 5Y Spreads'!G438</f>
        <v>1.5148448637779595</v>
      </c>
      <c r="F473" s="24">
        <f>C473-'Derived 5Y Spreads'!G326</f>
        <v>11.756646795386573</v>
      </c>
      <c r="G473" s="25">
        <f>'Derived 5Y Spreads'!E473</f>
        <v>101.4776</v>
      </c>
      <c r="H473" s="27" t="str">
        <f>'Derived 5Y Spreads'!O473</f>
        <v>model-derived</v>
      </c>
      <c r="I473" s="26" t="str">
        <f>'Derived 5Y Spreads'!A473</f>
        <v>ice-20260915-2a9431f8d6e7</v>
      </c>
      <c r="J473" s="26" t="str">
        <f>'Derived 5Y Spreads'!D473</f>
        <v>AMZN.SNRFOR.USD.XR14.100.2031-06-20</v>
      </c>
      <c r="K473" s="9" t="s">
        <v>12</v>
      </c>
    </row>
    <row r="474" spans="1:11" x14ac:dyDescent="0.25">
      <c r="A474" s="3">
        <v>46280</v>
      </c>
      <c r="B474" s="2" t="s">
        <v>23</v>
      </c>
      <c r="C474" s="18">
        <f>'Derived 5Y Spreads'!G474</f>
        <v>62.929176267317125</v>
      </c>
      <c r="D474" s="19">
        <f>C474-'Derived 5Y Spreads'!G467</f>
        <v>0.11125794057556249</v>
      </c>
      <c r="E474" s="19">
        <f>C474-'Derived 5Y Spreads'!G439</f>
        <v>3.8684444894577936</v>
      </c>
      <c r="F474" s="19">
        <f>C474-'Derived 5Y Spreads'!G327</f>
        <v>10.679176267317125</v>
      </c>
      <c r="G474" s="20">
        <f>'Derived 5Y Spreads'!E474</f>
        <v>101.5553</v>
      </c>
      <c r="H474" s="27" t="str">
        <f>'Derived 5Y Spreads'!O474</f>
        <v>model-derived</v>
      </c>
      <c r="I474" s="22" t="str">
        <f>'Derived 5Y Spreads'!A474</f>
        <v>ice-20260915-2a9431f8d6e7</v>
      </c>
      <c r="J474" s="22" t="str">
        <f>'Derived 5Y Spreads'!D474</f>
        <v>ALPHINC.SNRFOR.USD.XR14.100.2031-06-20</v>
      </c>
      <c r="K474" s="5" t="s">
        <v>12</v>
      </c>
    </row>
    <row r="475" spans="1:11" x14ac:dyDescent="0.25">
      <c r="A475" s="7">
        <v>46280</v>
      </c>
      <c r="B475" s="6" t="s">
        <v>26</v>
      </c>
      <c r="C475" s="23">
        <f>'Derived 5Y Spreads'!G475</f>
        <v>45.286335893592984</v>
      </c>
      <c r="D475" s="24">
        <f>C475-'Derived 5Y Spreads'!G468</f>
        <v>-0.012269877384881056</v>
      </c>
      <c r="E475" s="24">
        <f>C475-'Derived 5Y Spreads'!G440</f>
        <v>0.5624435694340093</v>
      </c>
      <c r="F475" s="24">
        <f>C475-'Derived 5Y Spreads'!G328</f>
        <v>3.286335893592984</v>
      </c>
      <c r="G475" s="25">
        <f>'Derived 5Y Spreads'!E475</f>
        <v>102.311</v>
      </c>
      <c r="H475" s="27" t="str">
        <f>'Derived 5Y Spreads'!O475</f>
        <v>model-derived</v>
      </c>
      <c r="I475" s="26" t="str">
        <f>'Derived 5Y Spreads'!A475</f>
        <v>ice-20260915-2a9431f8d6e7</v>
      </c>
      <c r="J475" s="26" t="str">
        <f>'Derived 5Y Spreads'!D475</f>
        <v>MSFT.SNRFOR.USD.XR14.100.2031-06-20</v>
      </c>
      <c r="K475" s="9" t="s">
        <v>12</v>
      </c>
    </row>
    <row r="476" spans="1:11" x14ac:dyDescent="0.25">
      <c r="A476" s="3">
        <v>46280</v>
      </c>
      <c r="B476" s="2" t="s">
        <v>29</v>
      </c>
      <c r="C476" s="18">
        <f>'Derived 5Y Spreads'!G476</f>
        <v>85.05884155662102</v>
      </c>
      <c r="D476" s="19">
        <f>C476-'Derived 5Y Spreads'!G469</f>
        <v>-0.2769470613496594</v>
      </c>
      <c r="E476" s="19">
        <f>C476-'Derived 5Y Spreads'!G441</f>
        <v>-5.336163782287585</v>
      </c>
      <c r="F476" s="19">
        <f>C476-'Derived 5Y Spreads'!G329</f>
        <v>5.058841556621019</v>
      </c>
      <c r="G476" s="20">
        <f>'Derived 5Y Spreads'!E476</f>
        <v>100.6216</v>
      </c>
      <c r="H476" s="27" t="str">
        <f>'Derived 5Y Spreads'!O476</f>
        <v>model-derived</v>
      </c>
      <c r="I476" s="22" t="str">
        <f>'Derived 5Y Spreads'!A476</f>
        <v>ice-20260915-2a9431f8d6e7</v>
      </c>
      <c r="J476" s="22" t="str">
        <f>'Derived 5Y Spreads'!D476</f>
        <v>METAPL.SNRFOR.USD.XR14.100.2031-06-20</v>
      </c>
      <c r="K476" s="5" t="s">
        <v>12</v>
      </c>
    </row>
    <row r="477" spans="1:11" x14ac:dyDescent="0.25">
      <c r="A477" s="7">
        <v>46281</v>
      </c>
      <c r="B477" s="6" t="s">
        <v>9</v>
      </c>
      <c r="C477" s="23">
        <f>'Derived 5Y Spreads'!G477</f>
        <v>192.03628464526648</v>
      </c>
      <c r="D477" s="24">
        <f>C477-'Derived 5Y Spreads'!G470</f>
        <v>-2.872402994294731</v>
      </c>
      <c r="E477" s="24">
        <f>C477-'Derived 5Y Spreads'!G442</f>
        <v>-1.8403543937646987</v>
      </c>
      <c r="F477" s="24">
        <f>C477-'Derived 5Y Spreads'!G323</f>
        <v>-5.213715354733523</v>
      </c>
      <c r="G477" s="25">
        <f>'Derived 5Y Spreads'!E477</f>
        <v>96.3286</v>
      </c>
      <c r="H477" s="27" t="str">
        <f>'Derived 5Y Spreads'!O477</f>
        <v>model-derived</v>
      </c>
      <c r="I477" s="26" t="str">
        <f>'Derived 5Y Spreads'!A477</f>
        <v>ice-20260916-2e9c2c03fccf</v>
      </c>
      <c r="J477" s="26" t="str">
        <f>'Derived 5Y Spreads'!D477</f>
        <v>ORCLE.SNRFOR.USD.XR14.100.2031-06-20</v>
      </c>
      <c r="K477" s="9" t="s">
        <v>12</v>
      </c>
    </row>
    <row r="478" spans="1:11" x14ac:dyDescent="0.25">
      <c r="A478" s="3">
        <v>46281</v>
      </c>
      <c r="B478" s="2" t="s">
        <v>14</v>
      </c>
      <c r="C478" s="18">
        <f>'Derived 5Y Spreads'!G478</f>
        <v>783.263079650268</v>
      </c>
      <c r="D478" s="19">
        <f>C478-'Derived 5Y Spreads'!G471</f>
        <v>-11.03519228161315</v>
      </c>
      <c r="E478" s="19">
        <f>C478-'Derived 5Y Spreads'!G443</f>
        <v>22.04400480148695</v>
      </c>
      <c r="F478" s="19">
        <f>C478-'Derived 5Y Spreads'!G324</f>
        <v>43.26307965026797</v>
      </c>
      <c r="G478" s="20">
        <f>'Derived 5Y Spreads'!E478</f>
        <v>90.857</v>
      </c>
      <c r="H478" s="27" t="str">
        <f>'Derived 5Y Spreads'!O478</f>
        <v>model-derived</v>
      </c>
      <c r="I478" s="22" t="str">
        <f>'Derived 5Y Spreads'!A478</f>
        <v>ice-20260916-2e9c2c03fccf</v>
      </c>
      <c r="J478" s="22" t="str">
        <f>'Derived 5Y Spreads'!D478</f>
        <v>COREWEI.SNRFOR.USD.XR14.500.2031-06-20</v>
      </c>
      <c r="K478" s="5" t="s">
        <v>12</v>
      </c>
    </row>
    <row r="479" spans="1:11" x14ac:dyDescent="0.25">
      <c r="A479" s="7">
        <v>46281</v>
      </c>
      <c r="B479" s="6" t="s">
        <v>17</v>
      </c>
      <c r="C479" s="23">
        <f>'Derived 5Y Spreads'!G479</f>
        <v>76.13709814005387</v>
      </c>
      <c r="D479" s="24">
        <f>C479-'Derived 5Y Spreads'!G472</f>
        <v>-1.278876761728057</v>
      </c>
      <c r="E479" s="24">
        <f>C479-'Derived 5Y Spreads'!G444</f>
        <v>-3.2097605731878076</v>
      </c>
      <c r="F479" s="24">
        <f>C479-'Derived 5Y Spreads'!G325</f>
        <v>1.6370981400538653</v>
      </c>
      <c r="G479" s="25">
        <f>'Derived 5Y Spreads'!E479</f>
        <v>100.9944</v>
      </c>
      <c r="H479" s="27" t="str">
        <f>'Derived 5Y Spreads'!O479</f>
        <v>model-derived</v>
      </c>
      <c r="I479" s="26" t="str">
        <f>'Derived 5Y Spreads'!A479</f>
        <v>ice-20260916-2e9c2c03fccf</v>
      </c>
      <c r="J479" s="26" t="str">
        <f>'Derived 5Y Spreads'!D479</f>
        <v>NVIDIA.SNRFOR.USD.XR14.100.2031-06-20</v>
      </c>
      <c r="K479" s="9" t="s">
        <v>12</v>
      </c>
    </row>
    <row r="480" spans="1:11" x14ac:dyDescent="0.25">
      <c r="A480" s="3">
        <v>46281</v>
      </c>
      <c r="B480" s="2" t="s">
        <v>20</v>
      </c>
      <c r="C480" s="18">
        <f>'Derived 5Y Spreads'!G480</f>
        <v>64.44797772891336</v>
      </c>
      <c r="D480" s="19">
        <f>C480-'Derived 5Y Spreads'!G473</f>
        <v>-0.30866906647321457</v>
      </c>
      <c r="E480" s="19">
        <f>C480-'Derived 5Y Spreads'!G445</f>
        <v>1.8733852443741554</v>
      </c>
      <c r="F480" s="19">
        <f>C480-'Derived 5Y Spreads'!G326</f>
        <v>11.447977728913358</v>
      </c>
      <c r="G480" s="20">
        <f>'Derived 5Y Spreads'!E480</f>
        <v>101.4881</v>
      </c>
      <c r="H480" s="27" t="str">
        <f>'Derived 5Y Spreads'!O480</f>
        <v>model-derived</v>
      </c>
      <c r="I480" s="22" t="str">
        <f>'Derived 5Y Spreads'!A480</f>
        <v>ice-20260916-2e9c2c03fccf</v>
      </c>
      <c r="J480" s="22" t="str">
        <f>'Derived 5Y Spreads'!D480</f>
        <v>AMZN.SNRFOR.USD.XR14.100.2031-06-20</v>
      </c>
      <c r="K480" s="5" t="s">
        <v>12</v>
      </c>
    </row>
    <row r="481" spans="1:11" x14ac:dyDescent="0.25">
      <c r="A481" s="7">
        <v>46281</v>
      </c>
      <c r="B481" s="6" t="s">
        <v>23</v>
      </c>
      <c r="C481" s="23">
        <f>'Derived 5Y Spreads'!G481</f>
        <v>63.19925132320157</v>
      </c>
      <c r="D481" s="24">
        <f>C481-'Derived 5Y Spreads'!G474</f>
        <v>0.2700750558844476</v>
      </c>
      <c r="E481" s="24">
        <f>C481-'Derived 5Y Spreads'!G446</f>
        <v>3.685885673378465</v>
      </c>
      <c r="F481" s="24">
        <f>C481-'Derived 5Y Spreads'!G327</f>
        <v>10.949251323201572</v>
      </c>
      <c r="G481" s="25">
        <f>'Derived 5Y Spreads'!E481</f>
        <v>101.5411</v>
      </c>
      <c r="H481" s="27" t="str">
        <f>'Derived 5Y Spreads'!O481</f>
        <v>model-derived</v>
      </c>
      <c r="I481" s="26" t="str">
        <f>'Derived 5Y Spreads'!A481</f>
        <v>ice-20260916-2e9c2c03fccf</v>
      </c>
      <c r="J481" s="26" t="str">
        <f>'Derived 5Y Spreads'!D481</f>
        <v>ALPHINC.SNRFOR.USD.XR14.100.2031-06-20</v>
      </c>
      <c r="K481" s="9" t="s">
        <v>12</v>
      </c>
    </row>
    <row r="482" spans="1:11" x14ac:dyDescent="0.25">
      <c r="A482" s="3">
        <v>46281</v>
      </c>
      <c r="B482" s="2" t="s">
        <v>26</v>
      </c>
      <c r="C482" s="18">
        <f>'Derived 5Y Spreads'!G482</f>
        <v>44.60879305382733</v>
      </c>
      <c r="D482" s="19">
        <f>C482-'Derived 5Y Spreads'!G475</f>
        <v>-0.6775428397656569</v>
      </c>
      <c r="E482" s="19">
        <f>C482-'Derived 5Y Spreads'!G447</f>
        <v>0.6259174579257234</v>
      </c>
      <c r="F482" s="19">
        <f>C482-'Derived 5Y Spreads'!G328</f>
        <v>2.608793053827327</v>
      </c>
      <c r="G482" s="20">
        <f>'Derived 5Y Spreads'!E482</f>
        <v>102.3361</v>
      </c>
      <c r="H482" s="27" t="str">
        <f>'Derived 5Y Spreads'!O482</f>
        <v>model-derived</v>
      </c>
      <c r="I482" s="22" t="str">
        <f>'Derived 5Y Spreads'!A482</f>
        <v>ice-20260916-2e9c2c03fccf</v>
      </c>
      <c r="J482" s="22" t="str">
        <f>'Derived 5Y Spreads'!D482</f>
        <v>MSFT.SNRFOR.USD.XR14.100.2031-06-20</v>
      </c>
      <c r="K482" s="5" t="s">
        <v>12</v>
      </c>
    </row>
    <row r="483" spans="1:11" x14ac:dyDescent="0.25">
      <c r="A483" s="7">
        <v>46281</v>
      </c>
      <c r="B483" s="6" t="s">
        <v>29</v>
      </c>
      <c r="C483" s="23">
        <f>'Derived 5Y Spreads'!G483</f>
        <v>83.39378316195061</v>
      </c>
      <c r="D483" s="24">
        <f>C483-'Derived 5Y Spreads'!G476</f>
        <v>-1.6650583946704103</v>
      </c>
      <c r="E483" s="24">
        <f>C483-'Derived 5Y Spreads'!G448</f>
        <v>-4.398973020184627</v>
      </c>
      <c r="F483" s="24">
        <f>C483-'Derived 5Y Spreads'!G329</f>
        <v>3.3937831619506085</v>
      </c>
      <c r="G483" s="25">
        <f>'Derived 5Y Spreads'!E483</f>
        <v>100.6901</v>
      </c>
      <c r="H483" s="27" t="str">
        <f>'Derived 5Y Spreads'!O483</f>
        <v>model-derived</v>
      </c>
      <c r="I483" s="26" t="str">
        <f>'Derived 5Y Spreads'!A483</f>
        <v>ice-20260916-2e9c2c03fccf</v>
      </c>
      <c r="J483" s="26" t="str">
        <f>'Derived 5Y Spreads'!D483</f>
        <v>METAPL.SNRFOR.USD.XR14.100.2031-06-20</v>
      </c>
      <c r="K483" s="9" t="s">
        <v>12</v>
      </c>
    </row>
    <row r="484" spans="1:11" x14ac:dyDescent="0.25">
      <c r="A484" s="3">
        <v>46282</v>
      </c>
      <c r="B484" s="2" t="s">
        <v>9</v>
      </c>
      <c r="C484" s="18">
        <f>'Derived 5Y Spreads'!G484</f>
        <v>189.14144627537718</v>
      </c>
      <c r="D484" s="19">
        <f>C484-'Derived 5Y Spreads'!G477</f>
        <v>-2.8948383698892997</v>
      </c>
      <c r="E484" s="19">
        <f>C484-'Derived 5Y Spreads'!G449</f>
        <v>1.5361888954144263</v>
      </c>
      <c r="F484" s="19">
        <f>C484-'Derived 5Y Spreads'!G330</f>
        <v>-2.8585537246228228</v>
      </c>
      <c r="G484" s="20">
        <f>'Derived 5Y Spreads'!E484</f>
        <v>96.4361</v>
      </c>
      <c r="H484" s="27" t="str">
        <f>'Derived 5Y Spreads'!O484</f>
        <v>model-derived</v>
      </c>
      <c r="I484" s="22" t="str">
        <f>'Derived 5Y Spreads'!A484</f>
        <v>ice-20260917-eb10443909b0</v>
      </c>
      <c r="J484" s="22" t="str">
        <f>'Derived 5Y Spreads'!D484</f>
        <v>ORCLE.SNRFOR.USD.XR14.100.2031-06-20</v>
      </c>
      <c r="K484" s="5" t="s">
        <v>12</v>
      </c>
    </row>
    <row r="485" spans="1:11" x14ac:dyDescent="0.25">
      <c r="A485" s="7">
        <v>46282</v>
      </c>
      <c r="B485" s="6" t="s">
        <v>14</v>
      </c>
      <c r="C485" s="23">
        <f>'Derived 5Y Spreads'!G485</f>
        <v>805.3229583736187</v>
      </c>
      <c r="D485" s="24">
        <f>C485-'Derived 5Y Spreads'!G478</f>
        <v>22.05987872335072</v>
      </c>
      <c r="E485" s="24">
        <f>C485-'Derived 5Y Spreads'!G450</f>
        <v>34.167676943418314</v>
      </c>
      <c r="F485" s="24">
        <f>C485-'Derived 5Y Spreads'!G331</f>
        <v>135.3229583736187</v>
      </c>
      <c r="G485" s="25">
        <f>'Derived 5Y Spreads'!E485</f>
        <v>90.2084</v>
      </c>
      <c r="H485" s="27" t="str">
        <f>'Derived 5Y Spreads'!O485</f>
        <v>model-derived</v>
      </c>
      <c r="I485" s="26" t="str">
        <f>'Derived 5Y Spreads'!A485</f>
        <v>ice-20260917-eb10443909b0</v>
      </c>
      <c r="J485" s="26" t="str">
        <f>'Derived 5Y Spreads'!D485</f>
        <v>COREWEI.SNRFOR.USD.XR14.500.2031-06-20</v>
      </c>
      <c r="K485" s="9" t="s">
        <v>12</v>
      </c>
    </row>
    <row r="486" spans="1:11" x14ac:dyDescent="0.25">
      <c r="A486" s="3">
        <v>46282</v>
      </c>
      <c r="B486" s="2" t="s">
        <v>17</v>
      </c>
      <c r="C486" s="18">
        <f>'Derived 5Y Spreads'!G486</f>
        <v>73.93371747008626</v>
      </c>
      <c r="D486" s="19">
        <f>C486-'Derived 5Y Spreads'!G479</f>
        <v>-2.2033806699676006</v>
      </c>
      <c r="E486" s="19">
        <f>C486-'Derived 5Y Spreads'!G451</f>
        <v>-5.4982762189602425</v>
      </c>
      <c r="F486" s="19">
        <f>C486-'Derived 5Y Spreads'!G332</f>
        <v>-8.066282529913735</v>
      </c>
      <c r="G486" s="20">
        <f>'Derived 5Y Spreads'!E486</f>
        <v>101.0884</v>
      </c>
      <c r="H486" s="27" t="str">
        <f>'Derived 5Y Spreads'!O486</f>
        <v>model-derived</v>
      </c>
      <c r="I486" s="22" t="str">
        <f>'Derived 5Y Spreads'!A486</f>
        <v>ice-20260917-eb10443909b0</v>
      </c>
      <c r="J486" s="22" t="str">
        <f>'Derived 5Y Spreads'!D486</f>
        <v>NVIDIA.SNRFOR.USD.XR14.100.2031-06-20</v>
      </c>
      <c r="K486" s="5" t="s">
        <v>12</v>
      </c>
    </row>
    <row r="487" spans="1:11" x14ac:dyDescent="0.25">
      <c r="A487" s="7">
        <v>46282</v>
      </c>
      <c r="B487" s="6" t="s">
        <v>20</v>
      </c>
      <c r="C487" s="23">
        <f>'Derived 5Y Spreads'!G487</f>
        <v>63.7922665180155</v>
      </c>
      <c r="D487" s="24">
        <f>C487-'Derived 5Y Spreads'!G480</f>
        <v>-0.6557112108978558</v>
      </c>
      <c r="E487" s="24">
        <f>C487-'Derived 5Y Spreads'!G452</f>
        <v>-0.22392020297443338</v>
      </c>
      <c r="F487" s="24">
        <f>C487-'Derived 5Y Spreads'!G333</f>
        <v>5.652266518015502</v>
      </c>
      <c r="G487" s="25">
        <f>'Derived 5Y Spreads'!E487</f>
        <v>101.5177</v>
      </c>
      <c r="H487" s="27" t="str">
        <f>'Derived 5Y Spreads'!O487</f>
        <v>model-derived</v>
      </c>
      <c r="I487" s="26" t="str">
        <f>'Derived 5Y Spreads'!A487</f>
        <v>ice-20260917-eb10443909b0</v>
      </c>
      <c r="J487" s="26" t="str">
        <f>'Derived 5Y Spreads'!D487</f>
        <v>AMZN.SNRFOR.USD.XR14.100.2031-06-20</v>
      </c>
      <c r="K487" s="9" t="s">
        <v>12</v>
      </c>
    </row>
    <row r="488" spans="1:11" x14ac:dyDescent="0.25">
      <c r="A488" s="3">
        <v>46282</v>
      </c>
      <c r="B488" s="2" t="s">
        <v>23</v>
      </c>
      <c r="C488" s="18">
        <f>'Derived 5Y Spreads'!G488</f>
        <v>62.88656954504858</v>
      </c>
      <c r="D488" s="19">
        <f>C488-'Derived 5Y Spreads'!G481</f>
        <v>-0.31268177815299225</v>
      </c>
      <c r="E488" s="19">
        <f>C488-'Derived 5Y Spreads'!G453</f>
        <v>1.2388300028957673</v>
      </c>
      <c r="F488" s="19">
        <f>C488-'Derived 5Y Spreads'!G334</f>
        <v>6.88656954504858</v>
      </c>
      <c r="G488" s="20">
        <f>'Derived 5Y Spreads'!E488</f>
        <v>101.5562</v>
      </c>
      <c r="H488" s="27" t="str">
        <f>'Derived 5Y Spreads'!O488</f>
        <v>model-derived</v>
      </c>
      <c r="I488" s="22" t="str">
        <f>'Derived 5Y Spreads'!A488</f>
        <v>ice-20260917-eb10443909b0</v>
      </c>
      <c r="J488" s="22" t="str">
        <f>'Derived 5Y Spreads'!D488</f>
        <v>ALPHINC.SNRFOR.USD.XR14.100.2031-06-20</v>
      </c>
      <c r="K488" s="5" t="s">
        <v>12</v>
      </c>
    </row>
    <row r="489" spans="1:11" x14ac:dyDescent="0.25">
      <c r="A489" s="7">
        <v>46282</v>
      </c>
      <c r="B489" s="6" t="s">
        <v>26</v>
      </c>
      <c r="C489" s="23">
        <f>'Derived 5Y Spreads'!G489</f>
        <v>44.036994019252916</v>
      </c>
      <c r="D489" s="24">
        <f>C489-'Derived 5Y Spreads'!G482</f>
        <v>-0.5717990345744113</v>
      </c>
      <c r="E489" s="24">
        <f>C489-'Derived 5Y Spreads'!G454</f>
        <v>-0.1239805949850421</v>
      </c>
      <c r="F489" s="24">
        <f>C489-'Derived 5Y Spreads'!G335</f>
        <v>-0.9630059807470843</v>
      </c>
      <c r="G489" s="25">
        <f>'Derived 5Y Spreads'!E489</f>
        <v>102.3635</v>
      </c>
      <c r="H489" s="27" t="str">
        <f>'Derived 5Y Spreads'!O489</f>
        <v>model-derived</v>
      </c>
      <c r="I489" s="26" t="str">
        <f>'Derived 5Y Spreads'!A489</f>
        <v>ice-20260917-eb10443909b0</v>
      </c>
      <c r="J489" s="26" t="str">
        <f>'Derived 5Y Spreads'!D489</f>
        <v>MSFT.SNRFOR.USD.XR14.100.2031-06-20</v>
      </c>
      <c r="K489" s="9" t="s">
        <v>12</v>
      </c>
    </row>
    <row r="490" spans="1:11" x14ac:dyDescent="0.25">
      <c r="A490" s="3">
        <v>46282</v>
      </c>
      <c r="B490" s="2" t="s">
        <v>29</v>
      </c>
      <c r="C490" s="18">
        <f>'Derived 5Y Spreads'!G490</f>
        <v>81.99742948874241</v>
      </c>
      <c r="D490" s="19">
        <f>C490-'Derived 5Y Spreads'!G483</f>
        <v>-1.3963536732081963</v>
      </c>
      <c r="E490" s="19">
        <f>C490-'Derived 5Y Spreads'!G455</f>
        <v>-5.019099876347724</v>
      </c>
      <c r="F490" s="19">
        <f>C490-'Derived 5Y Spreads'!G336</f>
        <v>-6.252570511257588</v>
      </c>
      <c r="G490" s="20">
        <f>'Derived 5Y Spreads'!E490</f>
        <v>100.7494</v>
      </c>
      <c r="H490" s="27" t="str">
        <f>'Derived 5Y Spreads'!O490</f>
        <v>model-derived</v>
      </c>
      <c r="I490" s="22" t="str">
        <f>'Derived 5Y Spreads'!A490</f>
        <v>ice-20260917-eb10443909b0</v>
      </c>
      <c r="J490" s="22" t="str">
        <f>'Derived 5Y Spreads'!D490</f>
        <v>METAPL.SNRFOR.USD.XR14.100.2031-06-20</v>
      </c>
      <c r="K490" s="5" t="s">
        <v>12</v>
      </c>
    </row>
    <row r="491" spans="1:11" x14ac:dyDescent="0.25">
      <c r="A491" s="7">
        <v>46283</v>
      </c>
      <c r="B491" s="6" t="s">
        <v>9</v>
      </c>
      <c r="C491" s="23">
        <f>'Derived 5Y Spreads'!G491</f>
        <v>192.8784483092483</v>
      </c>
      <c r="D491" s="24">
        <f>C491-'Derived 5Y Spreads'!G484</f>
        <v>3.7370020338711356</v>
      </c>
      <c r="E491" s="24">
        <f>C491-'Derived 5Y Spreads'!G456</f>
        <v>5.949189987470589</v>
      </c>
      <c r="F491" s="24">
        <f>C491-'Derived 5Y Spreads'!G337</f>
        <v>-4.621551690751687</v>
      </c>
      <c r="G491" s="25">
        <f>'Derived 5Y Spreads'!E491</f>
        <v>96.3048</v>
      </c>
      <c r="H491" s="27" t="str">
        <f>'Derived 5Y Spreads'!O491</f>
        <v>model-derived</v>
      </c>
      <c r="I491" s="26" t="str">
        <f>'Derived 5Y Spreads'!A491</f>
        <v>ice-20260918-a28914bd0edf</v>
      </c>
      <c r="J491" s="26" t="str">
        <f>'Derived 5Y Spreads'!D491</f>
        <v>ORCLE.SNRFOR.USD.XR14.100.2031-06-20</v>
      </c>
      <c r="K491" s="9" t="s">
        <v>12</v>
      </c>
    </row>
    <row r="492" spans="1:11" x14ac:dyDescent="0.25">
      <c r="A492" s="3">
        <v>46283</v>
      </c>
      <c r="B492" s="2" t="s">
        <v>14</v>
      </c>
      <c r="C492" s="18">
        <f>'Derived 5Y Spreads'!G492</f>
        <v>819.5464856519291</v>
      </c>
      <c r="D492" s="19">
        <f>C492-'Derived 5Y Spreads'!G485</f>
        <v>14.223527278310371</v>
      </c>
      <c r="E492" s="19">
        <f>C492-'Derived 5Y Spreads'!G457</f>
        <v>54.98551937850698</v>
      </c>
      <c r="F492" s="19">
        <f>C492-'Derived 5Y Spreads'!G338</f>
        <v>119.54648565192906</v>
      </c>
      <c r="G492" s="20">
        <f>'Derived 5Y Spreads'!E492</f>
        <v>89.832</v>
      </c>
      <c r="H492" s="27" t="str">
        <f>'Derived 5Y Spreads'!O492</f>
        <v>model-derived</v>
      </c>
      <c r="I492" s="22" t="str">
        <f>'Derived 5Y Spreads'!A492</f>
        <v>ice-20260918-a28914bd0edf</v>
      </c>
      <c r="J492" s="22" t="str">
        <f>'Derived 5Y Spreads'!D492</f>
        <v>COREWEI.SNRFOR.USD.XR14.500.2031-06-20</v>
      </c>
      <c r="K492" s="5" t="s">
        <v>12</v>
      </c>
    </row>
    <row r="493" spans="1:11" x14ac:dyDescent="0.25">
      <c r="A493" s="7">
        <v>46283</v>
      </c>
      <c r="B493" s="6" t="s">
        <v>17</v>
      </c>
      <c r="C493" s="23">
        <f>'Derived 5Y Spreads'!G493</f>
        <v>75.70296620122605</v>
      </c>
      <c r="D493" s="24">
        <f>C493-'Derived 5Y Spreads'!G486</f>
        <v>1.7692487311397826</v>
      </c>
      <c r="E493" s="24">
        <f>C493-'Derived 5Y Spreads'!G458</f>
        <v>-1.861062425487205</v>
      </c>
      <c r="F493" s="24">
        <f>C493-'Derived 5Y Spreads'!G339</f>
        <v>-7.547033798773953</v>
      </c>
      <c r="G493" s="25">
        <f>'Derived 5Y Spreads'!E493</f>
        <v>101.0102</v>
      </c>
      <c r="H493" s="27" t="str">
        <f>'Derived 5Y Spreads'!O493</f>
        <v>model-derived</v>
      </c>
      <c r="I493" s="26" t="str">
        <f>'Derived 5Y Spreads'!A493</f>
        <v>ice-20260918-a28914bd0edf</v>
      </c>
      <c r="J493" s="26" t="str">
        <f>'Derived 5Y Spreads'!D493</f>
        <v>NVIDIA.SNRFOR.USD.XR14.100.2031-06-20</v>
      </c>
      <c r="K493" s="9" t="s">
        <v>12</v>
      </c>
    </row>
    <row r="494" spans="1:11" x14ac:dyDescent="0.25">
      <c r="A494" s="3">
        <v>46283</v>
      </c>
      <c r="B494" s="2" t="s">
        <v>20</v>
      </c>
      <c r="C494" s="18">
        <f>'Derived 5Y Spreads'!G494</f>
        <v>64.97442372824875</v>
      </c>
      <c r="D494" s="19">
        <f>C494-'Derived 5Y Spreads'!G487</f>
        <v>1.1821572102332496</v>
      </c>
      <c r="E494" s="19">
        <f>C494-'Derived 5Y Spreads'!G459</f>
        <v>1.662384861766192</v>
      </c>
      <c r="F494" s="19">
        <f>C494-'Derived 5Y Spreads'!G340</f>
        <v>5.114423728248752</v>
      </c>
      <c r="G494" s="20">
        <f>'Derived 5Y Spreads'!E494</f>
        <v>101.4622</v>
      </c>
      <c r="H494" s="27" t="str">
        <f>'Derived 5Y Spreads'!O494</f>
        <v>model-derived</v>
      </c>
      <c r="I494" s="22" t="str">
        <f>'Derived 5Y Spreads'!A494</f>
        <v>ice-20260918-a28914bd0edf</v>
      </c>
      <c r="J494" s="22" t="str">
        <f>'Derived 5Y Spreads'!D494</f>
        <v>AMZN.SNRFOR.USD.XR14.100.2031-06-20</v>
      </c>
      <c r="K494" s="5" t="s">
        <v>12</v>
      </c>
    </row>
    <row r="495" spans="1:11" x14ac:dyDescent="0.25">
      <c r="A495" s="7">
        <v>46283</v>
      </c>
      <c r="B495" s="6" t="s">
        <v>23</v>
      </c>
      <c r="C495" s="23">
        <f>'Derived 5Y Spreads'!G495</f>
        <v>63.53082520115787</v>
      </c>
      <c r="D495" s="24">
        <f>C495-'Derived 5Y Spreads'!G488</f>
        <v>0.6442556561092871</v>
      </c>
      <c r="E495" s="24">
        <f>C495-'Derived 5Y Spreads'!G460</f>
        <v>1.9303238189209537</v>
      </c>
      <c r="F495" s="24">
        <f>C495-'Derived 5Y Spreads'!G341</f>
        <v>6.780825201157867</v>
      </c>
      <c r="G495" s="25">
        <f>'Derived 5Y Spreads'!E495</f>
        <v>101.5233</v>
      </c>
      <c r="H495" s="27" t="str">
        <f>'Derived 5Y Spreads'!O495</f>
        <v>model-derived</v>
      </c>
      <c r="I495" s="26" t="str">
        <f>'Derived 5Y Spreads'!A495</f>
        <v>ice-20260918-a28914bd0edf</v>
      </c>
      <c r="J495" s="26" t="str">
        <f>'Derived 5Y Spreads'!D495</f>
        <v>ALPHINC.SNRFOR.USD.XR14.100.2031-06-20</v>
      </c>
      <c r="K495" s="9" t="s">
        <v>12</v>
      </c>
    </row>
    <row r="496" spans="1:11" x14ac:dyDescent="0.25">
      <c r="A496" s="3">
        <v>46283</v>
      </c>
      <c r="B496" s="2" t="s">
        <v>26</v>
      </c>
      <c r="C496" s="18">
        <f>'Derived 5Y Spreads'!G496</f>
        <v>44.484684906892916</v>
      </c>
      <c r="D496" s="19">
        <f>C496-'Derived 5Y Spreads'!G489</f>
        <v>0.4476908876400003</v>
      </c>
      <c r="E496" s="19">
        <f>C496-'Derived 5Y Spreads'!G461</f>
        <v>0.21358154720488187</v>
      </c>
      <c r="F496" s="19">
        <f>C496-'Derived 5Y Spreads'!G342</f>
        <v>-1.265315093107084</v>
      </c>
      <c r="G496" s="20">
        <f>'Derived 5Y Spreads'!E496</f>
        <v>102.3357</v>
      </c>
      <c r="H496" s="27" t="str">
        <f>'Derived 5Y Spreads'!O496</f>
        <v>model-derived</v>
      </c>
      <c r="I496" s="22" t="str">
        <f>'Derived 5Y Spreads'!A496</f>
        <v>ice-20260918-a28914bd0edf</v>
      </c>
      <c r="J496" s="22" t="str">
        <f>'Derived 5Y Spreads'!D496</f>
        <v>MSFT.SNRFOR.USD.XR14.100.2031-06-20</v>
      </c>
      <c r="K496" s="5" t="s">
        <v>12</v>
      </c>
    </row>
    <row r="497" spans="1:11" x14ac:dyDescent="0.25">
      <c r="A497" s="7">
        <v>46283</v>
      </c>
      <c r="B497" s="6" t="s">
        <v>29</v>
      </c>
      <c r="C497" s="23">
        <f>'Derived 5Y Spreads'!G497</f>
        <v>84.79034901191798</v>
      </c>
      <c r="D497" s="24">
        <f>C497-'Derived 5Y Spreads'!G490</f>
        <v>2.79291952317557</v>
      </c>
      <c r="E497" s="24">
        <f>C497-'Derived 5Y Spreads'!G462</f>
        <v>1.062268205382594</v>
      </c>
      <c r="F497" s="24">
        <f>C497-'Derived 5Y Spreads'!G343</f>
        <v>-6.209650988082018</v>
      </c>
      <c r="G497" s="25">
        <f>'Derived 5Y Spreads'!E497</f>
        <v>100.6302</v>
      </c>
      <c r="H497" s="27" t="str">
        <f>'Derived 5Y Spreads'!O497</f>
        <v>model-derived</v>
      </c>
      <c r="I497" s="26" t="str">
        <f>'Derived 5Y Spreads'!A497</f>
        <v>ice-20260918-a28914bd0edf</v>
      </c>
      <c r="J497" s="26" t="str">
        <f>'Derived 5Y Spreads'!D497</f>
        <v>METAPL.SNRFOR.USD.XR14.100.2031-06-20</v>
      </c>
      <c r="K497" s="9" t="s">
        <v>12</v>
      </c>
    </row>
  </sheetData>
  <autoFilter ref="A1:K1"/>
  <hyperlinks>
    <hyperlink ref="K365" r:id="rId1" tooltip="https://www.ice.com/cds-settlement-prices/icc/single-name-instruments"/>
    <hyperlink ref="K366" r:id="rId2" tooltip="https://www.ice.com/cds-settlement-prices/icc/single-name-instruments"/>
    <hyperlink ref="K367" r:id="rId3" tooltip="https://www.ice.com/cds-settlement-prices/icc/single-name-instruments"/>
    <hyperlink ref="K368" r:id="rId4" tooltip="https://www.ice.com/cds-settlement-prices/icc/single-name-instruments"/>
    <hyperlink ref="K369" r:id="rId5" tooltip="https://www.ice.com/cds-settlement-prices/icc/single-name-instruments"/>
    <hyperlink ref="K370" r:id="rId6" tooltip="https://www.ice.com/cds-settlement-prices/icc/single-name-instruments"/>
    <hyperlink ref="K371" r:id="rId7" tooltip="https://www.ice.com/cds-settlement-prices/icc/single-name-instruments"/>
    <hyperlink ref="K372" r:id="rId8" tooltip="https://www.ice.com/cds-settlement-prices/icc/single-name-instruments"/>
    <hyperlink ref="K373" r:id="rId9" tooltip="https://www.ice.com/cds-settlement-prices/icc/single-name-instruments"/>
    <hyperlink ref="K374" r:id="rId10" tooltip="https://www.ice.com/cds-settlement-prices/icc/single-name-instruments"/>
    <hyperlink ref="K375" r:id="rId11" tooltip="https://www.ice.com/cds-settlement-prices/icc/single-name-instruments"/>
    <hyperlink ref="K376" r:id="rId12" tooltip="https://www.ice.com/cds-settlement-prices/icc/single-name-instruments"/>
    <hyperlink ref="K377" r:id="rId13" tooltip="https://www.ice.com/cds-settlement-prices/icc/single-name-instruments"/>
    <hyperlink ref="K378" r:id="rId14" tooltip="https://www.ice.com/cds-settlement-prices/icc/single-name-instruments"/>
    <hyperlink ref="K379" r:id="rId15" tooltip="https://www.ice.com/cds-settlement-prices/icc/single-name-instruments"/>
    <hyperlink ref="K380" r:id="rId16" tooltip="https://www.ice.com/cds-settlement-prices/icc/single-name-instruments"/>
    <hyperlink ref="K381" r:id="rId17" tooltip="https://www.ice.com/cds-settlement-prices/icc/single-name-instruments"/>
    <hyperlink ref="K382" r:id="rId18" tooltip="https://www.ice.com/cds-settlement-prices/icc/single-name-instruments"/>
    <hyperlink ref="K383" r:id="rId19" tooltip="https://www.ice.com/cds-settlement-prices/icc/single-name-instruments"/>
    <hyperlink ref="K384" r:id="rId20" tooltip="https://www.ice.com/cds-settlement-prices/icc/single-name-instruments"/>
    <hyperlink ref="K385" r:id="rId21" tooltip="https://www.ice.com/cds-settlement-prices/icc/single-name-instruments"/>
    <hyperlink ref="K386" r:id="rId22" tooltip="https://www.ice.com/cds-settlement-prices/icc/single-name-instruments"/>
    <hyperlink ref="K387" r:id="rId23" tooltip="https://www.ice.com/cds-settlement-prices/icc/single-name-instruments"/>
    <hyperlink ref="K388" r:id="rId24" tooltip="https://www.ice.com/cds-settlement-prices/icc/single-name-instruments"/>
    <hyperlink ref="K389" r:id="rId25" tooltip="https://www.ice.com/cds-settlement-prices/icc/single-name-instruments"/>
    <hyperlink ref="K390" r:id="rId26" tooltip="https://www.ice.com/cds-settlement-prices/icc/single-name-instruments"/>
    <hyperlink ref="K391" r:id="rId27" tooltip="https://www.ice.com/cds-settlement-prices/icc/single-name-instruments"/>
    <hyperlink ref="K392" r:id="rId28" tooltip="https://www.ice.com/cds-settlement-prices/icc/single-name-instruments"/>
    <hyperlink ref="K393" r:id="rId29" tooltip="https://www.ice.com/cds-settlement-prices/icc/single-name-instruments"/>
    <hyperlink ref="K394" r:id="rId30" tooltip="https://www.ice.com/cds-settlement-prices/icc/single-name-instruments"/>
    <hyperlink ref="K395" r:id="rId31" tooltip="https://www.ice.com/cds-settlement-prices/icc/single-name-instruments"/>
    <hyperlink ref="K396" r:id="rId32" tooltip="https://www.ice.com/cds-settlement-prices/icc/single-name-instruments"/>
    <hyperlink ref="K397" r:id="rId33" tooltip="https://www.ice.com/cds-settlement-prices/icc/single-name-instruments"/>
    <hyperlink ref="K398" r:id="rId34" tooltip="https://www.ice.com/cds-settlement-prices/icc/single-name-instruments"/>
    <hyperlink ref="K399" r:id="rId35" tooltip="https://www.ice.com/cds-settlement-prices/icc/single-name-instruments"/>
    <hyperlink ref="K400" r:id="rId36" tooltip="https://www.ice.com/cds-settlement-prices/icc/single-name-instruments"/>
    <hyperlink ref="K401" r:id="rId37" tooltip="https://www.ice.com/cds-settlement-prices/icc/single-name-instruments"/>
    <hyperlink ref="K402" r:id="rId38" tooltip="https://www.ice.com/cds-settlement-prices/icc/single-name-instruments"/>
    <hyperlink ref="K403" r:id="rId39" tooltip="https://www.ice.com/cds-settlement-prices/icc/single-name-instruments"/>
    <hyperlink ref="K404" r:id="rId40" tooltip="https://www.ice.com/cds-settlement-prices/icc/single-name-instruments"/>
    <hyperlink ref="K405" r:id="rId41" tooltip="https://www.ice.com/cds-settlement-prices/icc/single-name-instruments"/>
    <hyperlink ref="K406" r:id="rId42" tooltip="https://www.ice.com/cds-settlement-prices/icc/single-name-instruments"/>
    <hyperlink ref="K407" r:id="rId43" tooltip="https://www.ice.com/cds-settlement-prices/icc/single-name-instruments"/>
    <hyperlink ref="K408" r:id="rId44" tooltip="https://www.ice.com/cds-settlement-prices/icc/single-name-instruments"/>
    <hyperlink ref="K409" r:id="rId45" tooltip="https://www.ice.com/cds-settlement-prices/icc/single-name-instruments"/>
    <hyperlink ref="K410" r:id="rId46" tooltip="https://www.ice.com/cds-settlement-prices/icc/single-name-instruments"/>
    <hyperlink ref="K411" r:id="rId47" tooltip="https://www.ice.com/cds-settlement-prices/icc/single-name-instruments"/>
    <hyperlink ref="K412" r:id="rId48" tooltip="https://www.ice.com/cds-settlement-prices/icc/single-name-instruments"/>
    <hyperlink ref="K413" r:id="rId49" tooltip="https://www.ice.com/cds-settlement-prices/icc/single-name-instruments"/>
    <hyperlink ref="K414" r:id="rId50" tooltip="https://www.ice.com/cds-settlement-prices/icc/single-name-instruments"/>
    <hyperlink ref="K415" r:id="rId51" tooltip="https://www.ice.com/cds-settlement-prices/icc/single-name-instruments"/>
    <hyperlink ref="K416" r:id="rId52" tooltip="https://www.ice.com/cds-settlement-prices/icc/single-name-instruments"/>
    <hyperlink ref="K417" r:id="rId53" tooltip="https://www.ice.com/cds-settlement-prices/icc/single-name-instruments"/>
    <hyperlink ref="K418" r:id="rId54" tooltip="https://www.ice.com/cds-settlement-prices/icc/single-name-instruments"/>
    <hyperlink ref="K419" r:id="rId55" tooltip="https://www.ice.com/cds-settlement-prices/icc/single-name-instruments"/>
    <hyperlink ref="K420" r:id="rId56" tooltip="https://www.ice.com/cds-settlement-prices/icc/single-name-instruments"/>
    <hyperlink ref="K421" r:id="rId57" tooltip="https://www.ice.com/cds-settlement-prices/icc/single-name-instruments"/>
    <hyperlink ref="K422" r:id="rId58" tooltip="https://www.ice.com/cds-settlement-prices/icc/single-name-instruments"/>
    <hyperlink ref="K423" r:id="rId59" tooltip="https://www.ice.com/cds-settlement-prices/icc/single-name-instruments"/>
    <hyperlink ref="K424" r:id="rId60" tooltip="https://www.ice.com/cds-settlement-prices/icc/single-name-instruments"/>
    <hyperlink ref="K425" r:id="rId61" tooltip="https://www.ice.com/cds-settlement-prices/icc/single-name-instruments"/>
    <hyperlink ref="K426" r:id="rId62" tooltip="https://www.ice.com/cds-settlement-prices/icc/single-name-instruments"/>
    <hyperlink ref="K427" r:id="rId63" tooltip="https://www.ice.com/cds-settlement-prices/icc/single-name-instruments"/>
    <hyperlink ref="K428" r:id="rId64" tooltip="https://www.ice.com/cds-settlement-prices/icc/single-name-instruments"/>
    <hyperlink ref="K429" r:id="rId65" tooltip="https://www.ice.com/cds-settlement-prices/icc/single-name-instruments"/>
    <hyperlink ref="K430" r:id="rId66" tooltip="https://www.ice.com/cds-settlement-prices/icc/single-name-instruments"/>
    <hyperlink ref="K431" r:id="rId67" tooltip="https://www.ice.com/cds-settlement-prices/icc/single-name-instruments"/>
    <hyperlink ref="K432" r:id="rId68" tooltip="https://www.ice.com/cds-settlement-prices/icc/single-name-instruments"/>
    <hyperlink ref="K433" r:id="rId69" tooltip="https://www.ice.com/cds-settlement-prices/icc/single-name-instruments"/>
    <hyperlink ref="K434" r:id="rId70" tooltip="https://www.ice.com/cds-settlement-prices/icc/single-name-instruments"/>
    <hyperlink ref="K435" r:id="rId71" tooltip="https://www.ice.com/cds-settlement-prices/icc/single-name-instruments"/>
    <hyperlink ref="K436" r:id="rId72" tooltip="https://www.ice.com/cds-settlement-prices/icc/single-name-instruments"/>
    <hyperlink ref="K437" r:id="rId73" tooltip="https://www.ice.com/cds-settlement-prices/icc/single-name-instruments"/>
    <hyperlink ref="K438" r:id="rId74" tooltip="https://www.ice.com/cds-settlement-prices/icc/single-name-instruments"/>
    <hyperlink ref="K439" r:id="rId75" tooltip="https://www.ice.com/cds-settlement-prices/icc/single-name-instruments"/>
    <hyperlink ref="K440" r:id="rId76" tooltip="https://www.ice.com/cds-settlement-prices/icc/single-name-instruments"/>
    <hyperlink ref="K441" r:id="rId77" tooltip="https://www.ice.com/cds-settlement-prices/icc/single-name-instruments"/>
    <hyperlink ref="K442" r:id="rId78" tooltip="https://www.ice.com/cds-settlement-prices/icc/single-name-instruments"/>
    <hyperlink ref="K443" r:id="rId79" tooltip="https://www.ice.com/cds-settlement-prices/icc/single-name-instruments"/>
    <hyperlink ref="K444" r:id="rId80" tooltip="https://www.ice.com/cds-settlement-prices/icc/single-name-instruments"/>
    <hyperlink ref="K445" r:id="rId81" tooltip="https://www.ice.com/cds-settlement-prices/icc/single-name-instruments"/>
    <hyperlink ref="K446" r:id="rId82" tooltip="https://www.ice.com/cds-settlement-prices/icc/single-name-instruments"/>
    <hyperlink ref="K447" r:id="rId83" tooltip="https://www.ice.com/cds-settlement-prices/icc/single-name-instruments"/>
    <hyperlink ref="K448" r:id="rId84" tooltip="https://www.ice.com/cds-settlement-prices/icc/single-name-instruments"/>
    <hyperlink ref="K449" r:id="rId85" tooltip="https://www.ice.com/cds-settlement-prices/icc/single-name-instruments"/>
    <hyperlink ref="K450" r:id="rId86" tooltip="https://www.ice.com/cds-settlement-prices/icc/single-name-instruments"/>
    <hyperlink ref="K451" r:id="rId87" tooltip="https://www.ice.com/cds-settlement-prices/icc/single-name-instruments"/>
    <hyperlink ref="K452" r:id="rId88" tooltip="https://www.ice.com/cds-settlement-prices/icc/single-name-instruments"/>
    <hyperlink ref="K453" r:id="rId89" tooltip="https://www.ice.com/cds-settlement-prices/icc/single-name-instruments"/>
    <hyperlink ref="K454" r:id="rId90" tooltip="https://www.ice.com/cds-settlement-prices/icc/single-name-instruments"/>
    <hyperlink ref="K455" r:id="rId91" tooltip="https://www.ice.com/cds-settlement-prices/icc/single-name-instruments"/>
    <hyperlink ref="K456" r:id="rId92" tooltip="https://www.ice.com/cds-settlement-prices/icc/single-name-instruments"/>
    <hyperlink ref="K457" r:id="rId93" tooltip="https://www.ice.com/cds-settlement-prices/icc/single-name-instruments"/>
    <hyperlink ref="K458" r:id="rId94" tooltip="https://www.ice.com/cds-settlement-prices/icc/single-name-instruments"/>
    <hyperlink ref="K459" r:id="rId95" tooltip="https://www.ice.com/cds-settlement-prices/icc/single-name-instruments"/>
    <hyperlink ref="K460" r:id="rId96" tooltip="https://www.ice.com/cds-settlement-prices/icc/single-name-instruments"/>
    <hyperlink ref="K461" r:id="rId97" tooltip="https://www.ice.com/cds-settlement-prices/icc/single-name-instruments"/>
    <hyperlink ref="K462" r:id="rId98" tooltip="https://www.ice.com/cds-settlement-prices/icc/single-name-instruments"/>
    <hyperlink ref="K463" r:id="rId99" tooltip="https://www.ice.com/cds-settlement-prices/icc/single-name-instruments"/>
    <hyperlink ref="K464" r:id="rId100" tooltip="https://www.ice.com/cds-settlement-prices/icc/single-name-instruments"/>
    <hyperlink ref="K465" r:id="rId101" tooltip="https://www.ice.com/cds-settlement-prices/icc/single-name-instruments"/>
    <hyperlink ref="K466" r:id="rId102" tooltip="https://www.ice.com/cds-settlement-prices/icc/single-name-instruments"/>
    <hyperlink ref="K467" r:id="rId103" tooltip="https://www.ice.com/cds-settlement-prices/icc/single-name-instruments"/>
    <hyperlink ref="K468" r:id="rId104" tooltip="https://www.ice.com/cds-settlement-prices/icc/single-name-instruments"/>
    <hyperlink ref="K469" r:id="rId105" tooltip="https://www.ice.com/cds-settlement-prices/icc/single-name-instruments"/>
    <hyperlink ref="K470" r:id="rId106" tooltip="https://www.ice.com/cds-settlement-prices/icc/single-name-instruments"/>
    <hyperlink ref="K471" r:id="rId107" tooltip="https://www.ice.com/cds-settlement-prices/icc/single-name-instruments"/>
    <hyperlink ref="K472" r:id="rId108" tooltip="https://www.ice.com/cds-settlement-prices/icc/single-name-instruments"/>
    <hyperlink ref="K473" r:id="rId109" tooltip="https://www.ice.com/cds-settlement-prices/icc/single-name-instruments"/>
    <hyperlink ref="K474" r:id="rId110" tooltip="https://www.ice.com/cds-settlement-prices/icc/single-name-instruments"/>
    <hyperlink ref="K475" r:id="rId111" tooltip="https://www.ice.com/cds-settlement-prices/icc/single-name-instruments"/>
    <hyperlink ref="K476" r:id="rId112" tooltip="https://www.ice.com/cds-settlement-prices/icc/single-name-instruments"/>
    <hyperlink ref="K477" r:id="rId113" tooltip="https://www.ice.com/cds-settlement-prices/icc/single-name-instruments"/>
    <hyperlink ref="K478" r:id="rId114" tooltip="https://www.ice.com/cds-settlement-prices/icc/single-name-instruments"/>
    <hyperlink ref="K479" r:id="rId115" tooltip="https://www.ice.com/cds-settlement-prices/icc/single-name-instruments"/>
    <hyperlink ref="K480" r:id="rId116" tooltip="https://www.ice.com/cds-settlement-prices/icc/single-name-instruments"/>
    <hyperlink ref="K481" r:id="rId117" tooltip="https://www.ice.com/cds-settlement-prices/icc/single-name-instruments"/>
    <hyperlink ref="K482" r:id="rId118" tooltip="https://www.ice.com/cds-settlement-prices/icc/single-name-instruments"/>
    <hyperlink ref="K483" r:id="rId119" tooltip="https://www.ice.com/cds-settlement-prices/icc/single-name-instruments"/>
    <hyperlink ref="K484" r:id="rId120" tooltip="https://www.ice.com/cds-settlement-prices/icc/single-name-instruments"/>
    <hyperlink ref="K485" r:id="rId121" tooltip="https://www.ice.com/cds-settlement-prices/icc/single-name-instruments"/>
    <hyperlink ref="K486" r:id="rId122" tooltip="https://www.ice.com/cds-settlement-prices/icc/single-name-instruments"/>
    <hyperlink ref="K487" r:id="rId123" tooltip="https://www.ice.com/cds-settlement-prices/icc/single-name-instruments"/>
    <hyperlink ref="K488" r:id="rId124" tooltip="https://www.ice.com/cds-settlement-prices/icc/single-name-instruments"/>
    <hyperlink ref="K489" r:id="rId125" tooltip="https://www.ice.com/cds-settlement-prices/icc/single-name-instruments"/>
    <hyperlink ref="K490" r:id="rId126" tooltip="https://www.ice.com/cds-settlement-prices/icc/single-name-instruments"/>
    <hyperlink ref="K491" r:id="rId127" tooltip="https://www.ice.com/cds-settlement-prices/icc/single-name-instruments"/>
    <hyperlink ref="K492" r:id="rId128" tooltip="https://www.ice.com/cds-settlement-prices/icc/single-name-instruments"/>
    <hyperlink ref="K493" r:id="rId129" tooltip="https://www.ice.com/cds-settlement-prices/icc/single-name-instruments"/>
    <hyperlink ref="K494" r:id="rId130" tooltip="https://www.ice.com/cds-settlement-prices/icc/single-name-instruments"/>
    <hyperlink ref="K495" r:id="rId131" tooltip="https://www.ice.com/cds-settlement-prices/icc/single-name-instruments"/>
    <hyperlink ref="K496" r:id="rId132" tooltip="https://www.ice.com/cds-settlement-prices/icc/single-name-instruments"/>
    <hyperlink ref="K497" r:id="rId133" tooltip="https://www.ice.com/cds-settlement-prices/icc/single-name-instruments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3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18" outlineLevelRow="0" outlineLevelCol="0" x14ac:dyDescent="55" customHeight="1"/>
  <cols>
    <col min="1" max="1" width="30" customWidth="1"/>
    <col min="2" max="2" width="14" customWidth="1"/>
    <col min="3" max="4" width="12" customWidth="1"/>
    <col min="5" max="5" width="22" customWidth="1"/>
    <col min="6" max="6" width="26" customWidth="1"/>
    <col min="7" max="7" width="18" customWidth="1"/>
  </cols>
  <sheetData>
    <row r="1" ht="28" customHeight="1" spans="1:7" x14ac:dyDescent="0.25">
      <c r="A1" s="1" t="s">
        <v>74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6</v>
      </c>
    </row>
    <row r="2" spans="1:7" x14ac:dyDescent="0.25">
      <c r="A2" s="2" t="s">
        <v>91</v>
      </c>
      <c r="B2" s="3">
        <v>46258</v>
      </c>
      <c r="C2" s="2" t="s">
        <v>120</v>
      </c>
      <c r="D2" s="10">
        <v>0.08333333333333333</v>
      </c>
      <c r="E2" s="28">
        <v>0.0379</v>
      </c>
      <c r="F2" s="2" t="s">
        <v>121</v>
      </c>
      <c r="G2" s="5" t="s">
        <v>12</v>
      </c>
    </row>
    <row r="3" spans="1:7" x14ac:dyDescent="0.25">
      <c r="A3" s="6" t="s">
        <v>91</v>
      </c>
      <c r="B3" s="7">
        <v>46258</v>
      </c>
      <c r="C3" s="6" t="s">
        <v>120</v>
      </c>
      <c r="D3" s="14">
        <v>0.125</v>
      </c>
      <c r="E3" s="29">
        <v>0.0378</v>
      </c>
      <c r="F3" s="6" t="s">
        <v>121</v>
      </c>
      <c r="G3" s="9" t="s">
        <v>12</v>
      </c>
    </row>
    <row r="4" spans="1:7" x14ac:dyDescent="0.25">
      <c r="A4" s="2" t="s">
        <v>91</v>
      </c>
      <c r="B4" s="3">
        <v>46258</v>
      </c>
      <c r="C4" s="2" t="s">
        <v>120</v>
      </c>
      <c r="D4" s="10">
        <v>0.16666666666666666</v>
      </c>
      <c r="E4" s="28">
        <v>0.038</v>
      </c>
      <c r="F4" s="2" t="s">
        <v>121</v>
      </c>
      <c r="G4" s="5" t="s">
        <v>12</v>
      </c>
    </row>
    <row r="5" spans="1:7" x14ac:dyDescent="0.25">
      <c r="A5" s="6" t="s">
        <v>91</v>
      </c>
      <c r="B5" s="7">
        <v>46258</v>
      </c>
      <c r="C5" s="6" t="s">
        <v>120</v>
      </c>
      <c r="D5" s="14">
        <v>0.25</v>
      </c>
      <c r="E5" s="29">
        <v>0.0387</v>
      </c>
      <c r="F5" s="6" t="s">
        <v>121</v>
      </c>
      <c r="G5" s="9" t="s">
        <v>12</v>
      </c>
    </row>
    <row r="6" spans="1:7" x14ac:dyDescent="0.25">
      <c r="A6" s="2" t="s">
        <v>91</v>
      </c>
      <c r="B6" s="3">
        <v>46258</v>
      </c>
      <c r="C6" s="2" t="s">
        <v>120</v>
      </c>
      <c r="D6" s="10">
        <v>0.3333333333333333</v>
      </c>
      <c r="E6" s="28">
        <v>0.039</v>
      </c>
      <c r="F6" s="2" t="s">
        <v>121</v>
      </c>
      <c r="G6" s="5" t="s">
        <v>12</v>
      </c>
    </row>
    <row r="7" spans="1:7" x14ac:dyDescent="0.25">
      <c r="A7" s="6" t="s">
        <v>91</v>
      </c>
      <c r="B7" s="7">
        <v>46258</v>
      </c>
      <c r="C7" s="6" t="s">
        <v>120</v>
      </c>
      <c r="D7" s="14">
        <v>0.5</v>
      </c>
      <c r="E7" s="29">
        <v>0.039599999999999996</v>
      </c>
      <c r="F7" s="6" t="s">
        <v>121</v>
      </c>
      <c r="G7" s="9" t="s">
        <v>12</v>
      </c>
    </row>
    <row r="8" spans="1:7" x14ac:dyDescent="0.25">
      <c r="A8" s="2" t="s">
        <v>91</v>
      </c>
      <c r="B8" s="3">
        <v>46258</v>
      </c>
      <c r="C8" s="2" t="s">
        <v>120</v>
      </c>
      <c r="D8" s="10">
        <v>1</v>
      </c>
      <c r="E8" s="28">
        <v>0.0404</v>
      </c>
      <c r="F8" s="2" t="s">
        <v>121</v>
      </c>
      <c r="G8" s="5" t="s">
        <v>12</v>
      </c>
    </row>
    <row r="9" spans="1:7" x14ac:dyDescent="0.25">
      <c r="A9" s="6" t="s">
        <v>91</v>
      </c>
      <c r="B9" s="7">
        <v>46258</v>
      </c>
      <c r="C9" s="6" t="s">
        <v>120</v>
      </c>
      <c r="D9" s="14">
        <v>2</v>
      </c>
      <c r="E9" s="29">
        <v>0.0424</v>
      </c>
      <c r="F9" s="6" t="s">
        <v>121</v>
      </c>
      <c r="G9" s="9" t="s">
        <v>12</v>
      </c>
    </row>
    <row r="10" spans="1:7" x14ac:dyDescent="0.25">
      <c r="A10" s="2" t="s">
        <v>91</v>
      </c>
      <c r="B10" s="3">
        <v>46258</v>
      </c>
      <c r="C10" s="2" t="s">
        <v>120</v>
      </c>
      <c r="D10" s="10">
        <v>3</v>
      </c>
      <c r="E10" s="28">
        <v>0.0431</v>
      </c>
      <c r="F10" s="2" t="s">
        <v>121</v>
      </c>
      <c r="G10" s="5" t="s">
        <v>12</v>
      </c>
    </row>
    <row r="11" spans="1:7" x14ac:dyDescent="0.25">
      <c r="A11" s="6" t="s">
        <v>91</v>
      </c>
      <c r="B11" s="7">
        <v>46258</v>
      </c>
      <c r="C11" s="6" t="s">
        <v>120</v>
      </c>
      <c r="D11" s="14">
        <v>5</v>
      </c>
      <c r="E11" s="29">
        <v>0.0441</v>
      </c>
      <c r="F11" s="6" t="s">
        <v>121</v>
      </c>
      <c r="G11" s="9" t="s">
        <v>12</v>
      </c>
    </row>
    <row r="12" spans="1:7" x14ac:dyDescent="0.25">
      <c r="A12" s="2" t="s">
        <v>91</v>
      </c>
      <c r="B12" s="3">
        <v>46258</v>
      </c>
      <c r="C12" s="2" t="s">
        <v>120</v>
      </c>
      <c r="D12" s="10">
        <v>7</v>
      </c>
      <c r="E12" s="28">
        <v>0.0455</v>
      </c>
      <c r="F12" s="2" t="s">
        <v>121</v>
      </c>
      <c r="G12" s="5" t="s">
        <v>12</v>
      </c>
    </row>
    <row r="13" spans="1:7" x14ac:dyDescent="0.25">
      <c r="A13" s="6" t="s">
        <v>91</v>
      </c>
      <c r="B13" s="7">
        <v>46258</v>
      </c>
      <c r="C13" s="6" t="s">
        <v>120</v>
      </c>
      <c r="D13" s="14">
        <v>10</v>
      </c>
      <c r="E13" s="29">
        <v>0.047</v>
      </c>
      <c r="F13" s="6" t="s">
        <v>121</v>
      </c>
      <c r="G13" s="9" t="s">
        <v>12</v>
      </c>
    </row>
    <row r="14" spans="1:7" x14ac:dyDescent="0.25">
      <c r="A14" s="2" t="s">
        <v>91</v>
      </c>
      <c r="B14" s="3">
        <v>46258</v>
      </c>
      <c r="C14" s="2" t="s">
        <v>120</v>
      </c>
      <c r="D14" s="10">
        <v>20</v>
      </c>
      <c r="E14" s="28">
        <v>0.0521</v>
      </c>
      <c r="F14" s="2" t="s">
        <v>121</v>
      </c>
      <c r="G14" s="5" t="s">
        <v>12</v>
      </c>
    </row>
    <row r="15" spans="1:7" x14ac:dyDescent="0.25">
      <c r="A15" s="6" t="s">
        <v>91</v>
      </c>
      <c r="B15" s="7">
        <v>46258</v>
      </c>
      <c r="C15" s="6" t="s">
        <v>120</v>
      </c>
      <c r="D15" s="14">
        <v>30</v>
      </c>
      <c r="E15" s="29">
        <v>0.052300000000000006</v>
      </c>
      <c r="F15" s="6" t="s">
        <v>121</v>
      </c>
      <c r="G15" s="9" t="s">
        <v>12</v>
      </c>
    </row>
    <row r="16" spans="1:7" x14ac:dyDescent="0.25">
      <c r="A16" s="2" t="s">
        <v>94</v>
      </c>
      <c r="B16" s="3">
        <v>46259</v>
      </c>
      <c r="C16" s="2" t="s">
        <v>120</v>
      </c>
      <c r="D16" s="10">
        <v>0.08333333333333333</v>
      </c>
      <c r="E16" s="28">
        <v>0.0379</v>
      </c>
      <c r="F16" s="2" t="s">
        <v>121</v>
      </c>
      <c r="G16" s="5" t="s">
        <v>12</v>
      </c>
    </row>
    <row r="17" spans="1:7" x14ac:dyDescent="0.25">
      <c r="A17" s="6" t="s">
        <v>94</v>
      </c>
      <c r="B17" s="7">
        <v>46259</v>
      </c>
      <c r="C17" s="6" t="s">
        <v>120</v>
      </c>
      <c r="D17" s="14">
        <v>0.125</v>
      </c>
      <c r="E17" s="29">
        <v>0.0378</v>
      </c>
      <c r="F17" s="6" t="s">
        <v>121</v>
      </c>
      <c r="G17" s="9" t="s">
        <v>12</v>
      </c>
    </row>
    <row r="18" spans="1:7" x14ac:dyDescent="0.25">
      <c r="A18" s="2" t="s">
        <v>94</v>
      </c>
      <c r="B18" s="3">
        <v>46259</v>
      </c>
      <c r="C18" s="2" t="s">
        <v>120</v>
      </c>
      <c r="D18" s="10">
        <v>0.16666666666666666</v>
      </c>
      <c r="E18" s="28">
        <v>0.038</v>
      </c>
      <c r="F18" s="2" t="s">
        <v>121</v>
      </c>
      <c r="G18" s="5" t="s">
        <v>12</v>
      </c>
    </row>
    <row r="19" spans="1:7" x14ac:dyDescent="0.25">
      <c r="A19" s="6" t="s">
        <v>94</v>
      </c>
      <c r="B19" s="7">
        <v>46259</v>
      </c>
      <c r="C19" s="6" t="s">
        <v>120</v>
      </c>
      <c r="D19" s="14">
        <v>0.25</v>
      </c>
      <c r="E19" s="29">
        <v>0.038599999999999995</v>
      </c>
      <c r="F19" s="6" t="s">
        <v>121</v>
      </c>
      <c r="G19" s="9" t="s">
        <v>12</v>
      </c>
    </row>
    <row r="20" spans="1:7" x14ac:dyDescent="0.25">
      <c r="A20" s="2" t="s">
        <v>94</v>
      </c>
      <c r="B20" s="3">
        <v>46259</v>
      </c>
      <c r="C20" s="2" t="s">
        <v>120</v>
      </c>
      <c r="D20" s="10">
        <v>0.3333333333333333</v>
      </c>
      <c r="E20" s="28">
        <v>0.038900000000000004</v>
      </c>
      <c r="F20" s="2" t="s">
        <v>121</v>
      </c>
      <c r="G20" s="5" t="s">
        <v>12</v>
      </c>
    </row>
    <row r="21" spans="1:7" x14ac:dyDescent="0.25">
      <c r="A21" s="6" t="s">
        <v>94</v>
      </c>
      <c r="B21" s="7">
        <v>46259</v>
      </c>
      <c r="C21" s="6" t="s">
        <v>120</v>
      </c>
      <c r="D21" s="14">
        <v>0.5</v>
      </c>
      <c r="E21" s="29">
        <v>0.0395</v>
      </c>
      <c r="F21" s="6" t="s">
        <v>121</v>
      </c>
      <c r="G21" s="9" t="s">
        <v>12</v>
      </c>
    </row>
    <row r="22" spans="1:7" x14ac:dyDescent="0.25">
      <c r="A22" s="2" t="s">
        <v>94</v>
      </c>
      <c r="B22" s="3">
        <v>46259</v>
      </c>
      <c r="C22" s="2" t="s">
        <v>120</v>
      </c>
      <c r="D22" s="10">
        <v>1</v>
      </c>
      <c r="E22" s="28">
        <v>0.0401</v>
      </c>
      <c r="F22" s="2" t="s">
        <v>121</v>
      </c>
      <c r="G22" s="5" t="s">
        <v>12</v>
      </c>
    </row>
    <row r="23" spans="1:7" x14ac:dyDescent="0.25">
      <c r="A23" s="6" t="s">
        <v>94</v>
      </c>
      <c r="B23" s="7">
        <v>46259</v>
      </c>
      <c r="C23" s="6" t="s">
        <v>120</v>
      </c>
      <c r="D23" s="14">
        <v>2</v>
      </c>
      <c r="E23" s="29">
        <v>0.0417</v>
      </c>
      <c r="F23" s="6" t="s">
        <v>121</v>
      </c>
      <c r="G23" s="9" t="s">
        <v>12</v>
      </c>
    </row>
    <row r="24" spans="1:7" x14ac:dyDescent="0.25">
      <c r="A24" s="2" t="s">
        <v>94</v>
      </c>
      <c r="B24" s="3">
        <v>46259</v>
      </c>
      <c r="C24" s="2" t="s">
        <v>120</v>
      </c>
      <c r="D24" s="10">
        <v>3</v>
      </c>
      <c r="E24" s="28">
        <v>0.0425</v>
      </c>
      <c r="F24" s="2" t="s">
        <v>121</v>
      </c>
      <c r="G24" s="5" t="s">
        <v>12</v>
      </c>
    </row>
    <row r="25" spans="1:7" x14ac:dyDescent="0.25">
      <c r="A25" s="6" t="s">
        <v>94</v>
      </c>
      <c r="B25" s="7">
        <v>46259</v>
      </c>
      <c r="C25" s="6" t="s">
        <v>120</v>
      </c>
      <c r="D25" s="14">
        <v>5</v>
      </c>
      <c r="E25" s="29">
        <v>0.0435</v>
      </c>
      <c r="F25" s="6" t="s">
        <v>121</v>
      </c>
      <c r="G25" s="9" t="s">
        <v>12</v>
      </c>
    </row>
    <row r="26" spans="1:7" x14ac:dyDescent="0.25">
      <c r="A26" s="2" t="s">
        <v>94</v>
      </c>
      <c r="B26" s="3">
        <v>46259</v>
      </c>
      <c r="C26" s="2" t="s">
        <v>120</v>
      </c>
      <c r="D26" s="10">
        <v>7</v>
      </c>
      <c r="E26" s="28">
        <v>0.044800000000000006</v>
      </c>
      <c r="F26" s="2" t="s">
        <v>121</v>
      </c>
      <c r="G26" s="5" t="s">
        <v>12</v>
      </c>
    </row>
    <row r="27" spans="1:7" x14ac:dyDescent="0.25">
      <c r="A27" s="6" t="s">
        <v>94</v>
      </c>
      <c r="B27" s="7">
        <v>46259</v>
      </c>
      <c r="C27" s="6" t="s">
        <v>120</v>
      </c>
      <c r="D27" s="14">
        <v>10</v>
      </c>
      <c r="E27" s="29">
        <v>0.0464</v>
      </c>
      <c r="F27" s="6" t="s">
        <v>121</v>
      </c>
      <c r="G27" s="9" t="s">
        <v>12</v>
      </c>
    </row>
    <row r="28" spans="1:7" x14ac:dyDescent="0.25">
      <c r="A28" s="2" t="s">
        <v>94</v>
      </c>
      <c r="B28" s="3">
        <v>46259</v>
      </c>
      <c r="C28" s="2" t="s">
        <v>120</v>
      </c>
      <c r="D28" s="10">
        <v>20</v>
      </c>
      <c r="E28" s="28">
        <v>0.0516</v>
      </c>
      <c r="F28" s="2" t="s">
        <v>121</v>
      </c>
      <c r="G28" s="5" t="s">
        <v>12</v>
      </c>
    </row>
    <row r="29" spans="1:7" x14ac:dyDescent="0.25">
      <c r="A29" s="6" t="s">
        <v>94</v>
      </c>
      <c r="B29" s="7">
        <v>46259</v>
      </c>
      <c r="C29" s="6" t="s">
        <v>120</v>
      </c>
      <c r="D29" s="14">
        <v>30</v>
      </c>
      <c r="E29" s="29">
        <v>0.051699999999999996</v>
      </c>
      <c r="F29" s="6" t="s">
        <v>121</v>
      </c>
      <c r="G29" s="9" t="s">
        <v>12</v>
      </c>
    </row>
    <row r="30" spans="1:7" x14ac:dyDescent="0.25">
      <c r="A30" s="2" t="s">
        <v>95</v>
      </c>
      <c r="B30" s="3">
        <v>46260</v>
      </c>
      <c r="C30" s="2" t="s">
        <v>120</v>
      </c>
      <c r="D30" s="10">
        <v>0.08333333333333333</v>
      </c>
      <c r="E30" s="28">
        <v>0.038</v>
      </c>
      <c r="F30" s="2" t="s">
        <v>121</v>
      </c>
      <c r="G30" s="5" t="s">
        <v>12</v>
      </c>
    </row>
    <row r="31" spans="1:7" x14ac:dyDescent="0.25">
      <c r="A31" s="6" t="s">
        <v>95</v>
      </c>
      <c r="B31" s="7">
        <v>46260</v>
      </c>
      <c r="C31" s="6" t="s">
        <v>120</v>
      </c>
      <c r="D31" s="14">
        <v>0.125</v>
      </c>
      <c r="E31" s="29">
        <v>0.0378</v>
      </c>
      <c r="F31" s="6" t="s">
        <v>121</v>
      </c>
      <c r="G31" s="9" t="s">
        <v>12</v>
      </c>
    </row>
    <row r="32" spans="1:7" x14ac:dyDescent="0.25">
      <c r="A32" s="2" t="s">
        <v>95</v>
      </c>
      <c r="B32" s="3">
        <v>46260</v>
      </c>
      <c r="C32" s="2" t="s">
        <v>120</v>
      </c>
      <c r="D32" s="10">
        <v>0.16666666666666666</v>
      </c>
      <c r="E32" s="28">
        <v>0.038</v>
      </c>
      <c r="F32" s="2" t="s">
        <v>121</v>
      </c>
      <c r="G32" s="5" t="s">
        <v>12</v>
      </c>
    </row>
    <row r="33" spans="1:7" x14ac:dyDescent="0.25">
      <c r="A33" s="6" t="s">
        <v>95</v>
      </c>
      <c r="B33" s="7">
        <v>46260</v>
      </c>
      <c r="C33" s="6" t="s">
        <v>120</v>
      </c>
      <c r="D33" s="14">
        <v>0.25</v>
      </c>
      <c r="E33" s="29">
        <v>0.0385</v>
      </c>
      <c r="F33" s="6" t="s">
        <v>121</v>
      </c>
      <c r="G33" s="9" t="s">
        <v>12</v>
      </c>
    </row>
    <row r="34" spans="1:7" x14ac:dyDescent="0.25">
      <c r="A34" s="2" t="s">
        <v>95</v>
      </c>
      <c r="B34" s="3">
        <v>46260</v>
      </c>
      <c r="C34" s="2" t="s">
        <v>120</v>
      </c>
      <c r="D34" s="10">
        <v>0.3333333333333333</v>
      </c>
      <c r="E34" s="28">
        <v>0.0388</v>
      </c>
      <c r="F34" s="2" t="s">
        <v>121</v>
      </c>
      <c r="G34" s="5" t="s">
        <v>12</v>
      </c>
    </row>
    <row r="35" spans="1:7" x14ac:dyDescent="0.25">
      <c r="A35" s="6" t="s">
        <v>95</v>
      </c>
      <c r="B35" s="7">
        <v>46260</v>
      </c>
      <c r="C35" s="6" t="s">
        <v>120</v>
      </c>
      <c r="D35" s="14">
        <v>0.5</v>
      </c>
      <c r="E35" s="29">
        <v>0.0394</v>
      </c>
      <c r="F35" s="6" t="s">
        <v>121</v>
      </c>
      <c r="G35" s="9" t="s">
        <v>12</v>
      </c>
    </row>
    <row r="36" spans="1:7" x14ac:dyDescent="0.25">
      <c r="A36" s="2" t="s">
        <v>95</v>
      </c>
      <c r="B36" s="3">
        <v>46260</v>
      </c>
      <c r="C36" s="2" t="s">
        <v>120</v>
      </c>
      <c r="D36" s="10">
        <v>1</v>
      </c>
      <c r="E36" s="28">
        <v>0.04019999999999999</v>
      </c>
      <c r="F36" s="2" t="s">
        <v>121</v>
      </c>
      <c r="G36" s="5" t="s">
        <v>12</v>
      </c>
    </row>
    <row r="37" spans="1:7" x14ac:dyDescent="0.25">
      <c r="A37" s="6" t="s">
        <v>95</v>
      </c>
      <c r="B37" s="7">
        <v>46260</v>
      </c>
      <c r="C37" s="6" t="s">
        <v>120</v>
      </c>
      <c r="D37" s="14">
        <v>2</v>
      </c>
      <c r="E37" s="29">
        <v>0.04190000000000001</v>
      </c>
      <c r="F37" s="6" t="s">
        <v>121</v>
      </c>
      <c r="G37" s="9" t="s">
        <v>12</v>
      </c>
    </row>
    <row r="38" spans="1:7" x14ac:dyDescent="0.25">
      <c r="A38" s="2" t="s">
        <v>95</v>
      </c>
      <c r="B38" s="3">
        <v>46260</v>
      </c>
      <c r="C38" s="2" t="s">
        <v>120</v>
      </c>
      <c r="D38" s="10">
        <v>3</v>
      </c>
      <c r="E38" s="28">
        <v>0.0429</v>
      </c>
      <c r="F38" s="2" t="s">
        <v>121</v>
      </c>
      <c r="G38" s="5" t="s">
        <v>12</v>
      </c>
    </row>
    <row r="39" spans="1:7" x14ac:dyDescent="0.25">
      <c r="A39" s="6" t="s">
        <v>95</v>
      </c>
      <c r="B39" s="7">
        <v>46260</v>
      </c>
      <c r="C39" s="6" t="s">
        <v>120</v>
      </c>
      <c r="D39" s="14">
        <v>5</v>
      </c>
      <c r="E39" s="29">
        <v>0.0437</v>
      </c>
      <c r="F39" s="6" t="s">
        <v>121</v>
      </c>
      <c r="G39" s="9" t="s">
        <v>12</v>
      </c>
    </row>
    <row r="40" spans="1:7" x14ac:dyDescent="0.25">
      <c r="A40" s="2" t="s">
        <v>95</v>
      </c>
      <c r="B40" s="3">
        <v>46260</v>
      </c>
      <c r="C40" s="2" t="s">
        <v>120</v>
      </c>
      <c r="D40" s="10">
        <v>7</v>
      </c>
      <c r="E40" s="28">
        <v>0.0451</v>
      </c>
      <c r="F40" s="2" t="s">
        <v>121</v>
      </c>
      <c r="G40" s="5" t="s">
        <v>12</v>
      </c>
    </row>
    <row r="41" spans="1:7" x14ac:dyDescent="0.25">
      <c r="A41" s="6" t="s">
        <v>95</v>
      </c>
      <c r="B41" s="7">
        <v>46260</v>
      </c>
      <c r="C41" s="6" t="s">
        <v>120</v>
      </c>
      <c r="D41" s="14">
        <v>10</v>
      </c>
      <c r="E41" s="29">
        <v>0.0466</v>
      </c>
      <c r="F41" s="6" t="s">
        <v>121</v>
      </c>
      <c r="G41" s="9" t="s">
        <v>12</v>
      </c>
    </row>
    <row r="42" spans="1:7" x14ac:dyDescent="0.25">
      <c r="A42" s="2" t="s">
        <v>95</v>
      </c>
      <c r="B42" s="3">
        <v>46260</v>
      </c>
      <c r="C42" s="2" t="s">
        <v>120</v>
      </c>
      <c r="D42" s="10">
        <v>20</v>
      </c>
      <c r="E42" s="28">
        <v>0.051699999999999996</v>
      </c>
      <c r="F42" s="2" t="s">
        <v>121</v>
      </c>
      <c r="G42" s="5" t="s">
        <v>12</v>
      </c>
    </row>
    <row r="43" spans="1:7" x14ac:dyDescent="0.25">
      <c r="A43" s="6" t="s">
        <v>95</v>
      </c>
      <c r="B43" s="7">
        <v>46260</v>
      </c>
      <c r="C43" s="6" t="s">
        <v>120</v>
      </c>
      <c r="D43" s="14">
        <v>30</v>
      </c>
      <c r="E43" s="29">
        <v>0.0518</v>
      </c>
      <c r="F43" s="6" t="s">
        <v>121</v>
      </c>
      <c r="G43" s="9" t="s">
        <v>12</v>
      </c>
    </row>
    <row r="44" spans="1:7" x14ac:dyDescent="0.25">
      <c r="A44" s="2" t="s">
        <v>96</v>
      </c>
      <c r="B44" s="3">
        <v>46261</v>
      </c>
      <c r="C44" s="2" t="s">
        <v>120</v>
      </c>
      <c r="D44" s="10">
        <v>0.08333333333333333</v>
      </c>
      <c r="E44" s="28">
        <v>0.0381</v>
      </c>
      <c r="F44" s="2" t="s">
        <v>121</v>
      </c>
      <c r="G44" s="5" t="s">
        <v>12</v>
      </c>
    </row>
    <row r="45" spans="1:7" x14ac:dyDescent="0.25">
      <c r="A45" s="6" t="s">
        <v>96</v>
      </c>
      <c r="B45" s="7">
        <v>46261</v>
      </c>
      <c r="C45" s="6" t="s">
        <v>120</v>
      </c>
      <c r="D45" s="14">
        <v>0.125</v>
      </c>
      <c r="E45" s="29">
        <v>0.0379</v>
      </c>
      <c r="F45" s="6" t="s">
        <v>121</v>
      </c>
      <c r="G45" s="9" t="s">
        <v>12</v>
      </c>
    </row>
    <row r="46" spans="1:7" x14ac:dyDescent="0.25">
      <c r="A46" s="2" t="s">
        <v>96</v>
      </c>
      <c r="B46" s="3">
        <v>46261</v>
      </c>
      <c r="C46" s="2" t="s">
        <v>120</v>
      </c>
      <c r="D46" s="10">
        <v>0.16666666666666666</v>
      </c>
      <c r="E46" s="28">
        <v>0.0381</v>
      </c>
      <c r="F46" s="2" t="s">
        <v>121</v>
      </c>
      <c r="G46" s="5" t="s">
        <v>12</v>
      </c>
    </row>
    <row r="47" spans="1:7" x14ac:dyDescent="0.25">
      <c r="A47" s="6" t="s">
        <v>96</v>
      </c>
      <c r="B47" s="7">
        <v>46261</v>
      </c>
      <c r="C47" s="6" t="s">
        <v>120</v>
      </c>
      <c r="D47" s="14">
        <v>0.25</v>
      </c>
      <c r="E47" s="29">
        <v>0.0384</v>
      </c>
      <c r="F47" s="6" t="s">
        <v>121</v>
      </c>
      <c r="G47" s="9" t="s">
        <v>12</v>
      </c>
    </row>
    <row r="48" spans="1:7" x14ac:dyDescent="0.25">
      <c r="A48" s="2" t="s">
        <v>96</v>
      </c>
      <c r="B48" s="3">
        <v>46261</v>
      </c>
      <c r="C48" s="2" t="s">
        <v>120</v>
      </c>
      <c r="D48" s="10">
        <v>0.3333333333333333</v>
      </c>
      <c r="E48" s="28">
        <v>0.0388</v>
      </c>
      <c r="F48" s="2" t="s">
        <v>121</v>
      </c>
      <c r="G48" s="5" t="s">
        <v>12</v>
      </c>
    </row>
    <row r="49" spans="1:7" x14ac:dyDescent="0.25">
      <c r="A49" s="6" t="s">
        <v>96</v>
      </c>
      <c r="B49" s="7">
        <v>46261</v>
      </c>
      <c r="C49" s="6" t="s">
        <v>120</v>
      </c>
      <c r="D49" s="14">
        <v>0.5</v>
      </c>
      <c r="E49" s="29">
        <v>0.0394</v>
      </c>
      <c r="F49" s="6" t="s">
        <v>121</v>
      </c>
      <c r="G49" s="9" t="s">
        <v>12</v>
      </c>
    </row>
    <row r="50" spans="1:7" x14ac:dyDescent="0.25">
      <c r="A50" s="2" t="s">
        <v>96</v>
      </c>
      <c r="B50" s="3">
        <v>46261</v>
      </c>
      <c r="C50" s="2" t="s">
        <v>120</v>
      </c>
      <c r="D50" s="10">
        <v>1</v>
      </c>
      <c r="E50" s="28">
        <v>0.0404</v>
      </c>
      <c r="F50" s="2" t="s">
        <v>121</v>
      </c>
      <c r="G50" s="5" t="s">
        <v>12</v>
      </c>
    </row>
    <row r="51" spans="1:7" x14ac:dyDescent="0.25">
      <c r="A51" s="6" t="s">
        <v>96</v>
      </c>
      <c r="B51" s="7">
        <v>46261</v>
      </c>
      <c r="C51" s="6" t="s">
        <v>120</v>
      </c>
      <c r="D51" s="14">
        <v>2</v>
      </c>
      <c r="E51" s="29">
        <v>0.042</v>
      </c>
      <c r="F51" s="6" t="s">
        <v>121</v>
      </c>
      <c r="G51" s="9" t="s">
        <v>12</v>
      </c>
    </row>
    <row r="52" spans="1:7" x14ac:dyDescent="0.25">
      <c r="A52" s="2" t="s">
        <v>96</v>
      </c>
      <c r="B52" s="3">
        <v>46261</v>
      </c>
      <c r="C52" s="2" t="s">
        <v>120</v>
      </c>
      <c r="D52" s="10">
        <v>3</v>
      </c>
      <c r="E52" s="28">
        <v>0.043</v>
      </c>
      <c r="F52" s="2" t="s">
        <v>121</v>
      </c>
      <c r="G52" s="5" t="s">
        <v>12</v>
      </c>
    </row>
    <row r="53" spans="1:7" x14ac:dyDescent="0.25">
      <c r="A53" s="6" t="s">
        <v>96</v>
      </c>
      <c r="B53" s="7">
        <v>46261</v>
      </c>
      <c r="C53" s="6" t="s">
        <v>120</v>
      </c>
      <c r="D53" s="14">
        <v>5</v>
      </c>
      <c r="E53" s="29">
        <v>0.0438</v>
      </c>
      <c r="F53" s="6" t="s">
        <v>121</v>
      </c>
      <c r="G53" s="9" t="s">
        <v>12</v>
      </c>
    </row>
    <row r="54" spans="1:7" x14ac:dyDescent="0.25">
      <c r="A54" s="2" t="s">
        <v>96</v>
      </c>
      <c r="B54" s="3">
        <v>46261</v>
      </c>
      <c r="C54" s="2" t="s">
        <v>120</v>
      </c>
      <c r="D54" s="10">
        <v>7</v>
      </c>
      <c r="E54" s="28">
        <v>0.0452</v>
      </c>
      <c r="F54" s="2" t="s">
        <v>121</v>
      </c>
      <c r="G54" s="5" t="s">
        <v>12</v>
      </c>
    </row>
    <row r="55" spans="1:7" x14ac:dyDescent="0.25">
      <c r="A55" s="6" t="s">
        <v>96</v>
      </c>
      <c r="B55" s="7">
        <v>46261</v>
      </c>
      <c r="C55" s="6" t="s">
        <v>120</v>
      </c>
      <c r="D55" s="14">
        <v>10</v>
      </c>
      <c r="E55" s="29">
        <v>0.0467</v>
      </c>
      <c r="F55" s="6" t="s">
        <v>121</v>
      </c>
      <c r="G55" s="9" t="s">
        <v>12</v>
      </c>
    </row>
    <row r="56" spans="1:7" x14ac:dyDescent="0.25">
      <c r="A56" s="2" t="s">
        <v>96</v>
      </c>
      <c r="B56" s="3">
        <v>46261</v>
      </c>
      <c r="C56" s="2" t="s">
        <v>120</v>
      </c>
      <c r="D56" s="10">
        <v>20</v>
      </c>
      <c r="E56" s="28">
        <v>0.0518</v>
      </c>
      <c r="F56" s="2" t="s">
        <v>121</v>
      </c>
      <c r="G56" s="5" t="s">
        <v>12</v>
      </c>
    </row>
    <row r="57" spans="1:7" x14ac:dyDescent="0.25">
      <c r="A57" s="6" t="s">
        <v>96</v>
      </c>
      <c r="B57" s="7">
        <v>46261</v>
      </c>
      <c r="C57" s="6" t="s">
        <v>120</v>
      </c>
      <c r="D57" s="14">
        <v>30</v>
      </c>
      <c r="E57" s="29">
        <v>0.0519</v>
      </c>
      <c r="F57" s="6" t="s">
        <v>121</v>
      </c>
      <c r="G57" s="9" t="s">
        <v>12</v>
      </c>
    </row>
    <row r="58" spans="1:7" x14ac:dyDescent="0.25">
      <c r="A58" s="2" t="s">
        <v>97</v>
      </c>
      <c r="B58" s="3">
        <v>46262</v>
      </c>
      <c r="C58" s="2" t="s">
        <v>120</v>
      </c>
      <c r="D58" s="10">
        <v>0.08333333333333333</v>
      </c>
      <c r="E58" s="28">
        <v>0.0384</v>
      </c>
      <c r="F58" s="2" t="s">
        <v>121</v>
      </c>
      <c r="G58" s="5" t="s">
        <v>12</v>
      </c>
    </row>
    <row r="59" spans="1:7" x14ac:dyDescent="0.25">
      <c r="A59" s="6" t="s">
        <v>97</v>
      </c>
      <c r="B59" s="7">
        <v>46262</v>
      </c>
      <c r="C59" s="6" t="s">
        <v>120</v>
      </c>
      <c r="D59" s="14">
        <v>0.125</v>
      </c>
      <c r="E59" s="29">
        <v>0.0383</v>
      </c>
      <c r="F59" s="6" t="s">
        <v>121</v>
      </c>
      <c r="G59" s="9" t="s">
        <v>12</v>
      </c>
    </row>
    <row r="60" spans="1:7" x14ac:dyDescent="0.25">
      <c r="A60" s="2" t="s">
        <v>97</v>
      </c>
      <c r="B60" s="3">
        <v>46262</v>
      </c>
      <c r="C60" s="2" t="s">
        <v>120</v>
      </c>
      <c r="D60" s="10">
        <v>0.16666666666666666</v>
      </c>
      <c r="E60" s="28">
        <v>0.038599999999999995</v>
      </c>
      <c r="F60" s="2" t="s">
        <v>121</v>
      </c>
      <c r="G60" s="5" t="s">
        <v>12</v>
      </c>
    </row>
    <row r="61" spans="1:7" x14ac:dyDescent="0.25">
      <c r="A61" s="6" t="s">
        <v>97</v>
      </c>
      <c r="B61" s="7">
        <v>46262</v>
      </c>
      <c r="C61" s="6" t="s">
        <v>120</v>
      </c>
      <c r="D61" s="14">
        <v>0.25</v>
      </c>
      <c r="E61" s="29">
        <v>0.039</v>
      </c>
      <c r="F61" s="6" t="s">
        <v>121</v>
      </c>
      <c r="G61" s="9" t="s">
        <v>12</v>
      </c>
    </row>
    <row r="62" spans="1:7" x14ac:dyDescent="0.25">
      <c r="A62" s="2" t="s">
        <v>97</v>
      </c>
      <c r="B62" s="3">
        <v>46262</v>
      </c>
      <c r="C62" s="2" t="s">
        <v>120</v>
      </c>
      <c r="D62" s="10">
        <v>0.3333333333333333</v>
      </c>
      <c r="E62" s="28">
        <v>0.0394</v>
      </c>
      <c r="F62" s="2" t="s">
        <v>121</v>
      </c>
      <c r="G62" s="5" t="s">
        <v>12</v>
      </c>
    </row>
    <row r="63" spans="1:7" x14ac:dyDescent="0.25">
      <c r="A63" s="6" t="s">
        <v>97</v>
      </c>
      <c r="B63" s="7">
        <v>46262</v>
      </c>
      <c r="C63" s="6" t="s">
        <v>120</v>
      </c>
      <c r="D63" s="14">
        <v>0.5</v>
      </c>
      <c r="E63" s="29">
        <v>0.04019999999999999</v>
      </c>
      <c r="F63" s="6" t="s">
        <v>121</v>
      </c>
      <c r="G63" s="9" t="s">
        <v>12</v>
      </c>
    </row>
    <row r="64" spans="1:7" x14ac:dyDescent="0.25">
      <c r="A64" s="2" t="s">
        <v>97</v>
      </c>
      <c r="B64" s="3">
        <v>46262</v>
      </c>
      <c r="C64" s="2" t="s">
        <v>120</v>
      </c>
      <c r="D64" s="10">
        <v>1</v>
      </c>
      <c r="E64" s="28">
        <v>0.0415</v>
      </c>
      <c r="F64" s="2" t="s">
        <v>121</v>
      </c>
      <c r="G64" s="5" t="s">
        <v>12</v>
      </c>
    </row>
    <row r="65" spans="1:7" x14ac:dyDescent="0.25">
      <c r="A65" s="6" t="s">
        <v>97</v>
      </c>
      <c r="B65" s="7">
        <v>46262</v>
      </c>
      <c r="C65" s="6" t="s">
        <v>120</v>
      </c>
      <c r="D65" s="14">
        <v>2</v>
      </c>
      <c r="E65" s="29">
        <v>0.0434</v>
      </c>
      <c r="F65" s="6" t="s">
        <v>121</v>
      </c>
      <c r="G65" s="9" t="s">
        <v>12</v>
      </c>
    </row>
    <row r="66" spans="1:7" x14ac:dyDescent="0.25">
      <c r="A66" s="2" t="s">
        <v>97</v>
      </c>
      <c r="B66" s="3">
        <v>46262</v>
      </c>
      <c r="C66" s="2" t="s">
        <v>120</v>
      </c>
      <c r="D66" s="10">
        <v>3</v>
      </c>
      <c r="E66" s="28">
        <v>0.0441</v>
      </c>
      <c r="F66" s="2" t="s">
        <v>121</v>
      </c>
      <c r="G66" s="5" t="s">
        <v>12</v>
      </c>
    </row>
    <row r="67" spans="1:7" x14ac:dyDescent="0.25">
      <c r="A67" s="6" t="s">
        <v>97</v>
      </c>
      <c r="B67" s="7">
        <v>46262</v>
      </c>
      <c r="C67" s="6" t="s">
        <v>120</v>
      </c>
      <c r="D67" s="14">
        <v>5</v>
      </c>
      <c r="E67" s="29">
        <v>0.044800000000000006</v>
      </c>
      <c r="F67" s="6" t="s">
        <v>121</v>
      </c>
      <c r="G67" s="9" t="s">
        <v>12</v>
      </c>
    </row>
    <row r="68" spans="1:7" x14ac:dyDescent="0.25">
      <c r="A68" s="2" t="s">
        <v>97</v>
      </c>
      <c r="B68" s="3">
        <v>46262</v>
      </c>
      <c r="C68" s="2" t="s">
        <v>120</v>
      </c>
      <c r="D68" s="10">
        <v>7</v>
      </c>
      <c r="E68" s="28">
        <v>0.045899999999999996</v>
      </c>
      <c r="F68" s="2" t="s">
        <v>121</v>
      </c>
      <c r="G68" s="5" t="s">
        <v>12</v>
      </c>
    </row>
    <row r="69" spans="1:7" x14ac:dyDescent="0.25">
      <c r="A69" s="6" t="s">
        <v>97</v>
      </c>
      <c r="B69" s="7">
        <v>46262</v>
      </c>
      <c r="C69" s="6" t="s">
        <v>120</v>
      </c>
      <c r="D69" s="14">
        <v>10</v>
      </c>
      <c r="E69" s="29">
        <v>0.0473</v>
      </c>
      <c r="F69" s="6" t="s">
        <v>121</v>
      </c>
      <c r="G69" s="9" t="s">
        <v>12</v>
      </c>
    </row>
    <row r="70" spans="1:7" x14ac:dyDescent="0.25">
      <c r="A70" s="2" t="s">
        <v>97</v>
      </c>
      <c r="B70" s="3">
        <v>46262</v>
      </c>
      <c r="C70" s="2" t="s">
        <v>120</v>
      </c>
      <c r="D70" s="10">
        <v>20</v>
      </c>
      <c r="E70" s="28">
        <v>0.0521</v>
      </c>
      <c r="F70" s="2" t="s">
        <v>121</v>
      </c>
      <c r="G70" s="5" t="s">
        <v>12</v>
      </c>
    </row>
    <row r="71" spans="1:7" x14ac:dyDescent="0.25">
      <c r="A71" s="6" t="s">
        <v>97</v>
      </c>
      <c r="B71" s="7">
        <v>46262</v>
      </c>
      <c r="C71" s="6" t="s">
        <v>120</v>
      </c>
      <c r="D71" s="14">
        <v>30</v>
      </c>
      <c r="E71" s="29">
        <v>0.052199999999999996</v>
      </c>
      <c r="F71" s="6" t="s">
        <v>121</v>
      </c>
      <c r="G71" s="9" t="s">
        <v>12</v>
      </c>
    </row>
    <row r="72" spans="1:7" x14ac:dyDescent="0.25">
      <c r="A72" s="2" t="s">
        <v>98</v>
      </c>
      <c r="B72" s="3">
        <v>46265</v>
      </c>
      <c r="C72" s="2" t="s">
        <v>120</v>
      </c>
      <c r="D72" s="10">
        <v>0.08333333333333333</v>
      </c>
      <c r="E72" s="28">
        <v>0.0385</v>
      </c>
      <c r="F72" s="2" t="s">
        <v>121</v>
      </c>
      <c r="G72" s="5" t="s">
        <v>12</v>
      </c>
    </row>
    <row r="73" spans="1:7" x14ac:dyDescent="0.25">
      <c r="A73" s="6" t="s">
        <v>98</v>
      </c>
      <c r="B73" s="7">
        <v>46265</v>
      </c>
      <c r="C73" s="6" t="s">
        <v>120</v>
      </c>
      <c r="D73" s="14">
        <v>0.125</v>
      </c>
      <c r="E73" s="29">
        <v>0.038599999999999995</v>
      </c>
      <c r="F73" s="6" t="s">
        <v>121</v>
      </c>
      <c r="G73" s="9" t="s">
        <v>12</v>
      </c>
    </row>
    <row r="74" spans="1:7" x14ac:dyDescent="0.25">
      <c r="A74" s="2" t="s">
        <v>98</v>
      </c>
      <c r="B74" s="3">
        <v>46265</v>
      </c>
      <c r="C74" s="2" t="s">
        <v>120</v>
      </c>
      <c r="D74" s="10">
        <v>0.16666666666666666</v>
      </c>
      <c r="E74" s="28">
        <v>0.0388</v>
      </c>
      <c r="F74" s="2" t="s">
        <v>121</v>
      </c>
      <c r="G74" s="5" t="s">
        <v>12</v>
      </c>
    </row>
    <row r="75" spans="1:7" x14ac:dyDescent="0.25">
      <c r="A75" s="6" t="s">
        <v>98</v>
      </c>
      <c r="B75" s="7">
        <v>46265</v>
      </c>
      <c r="C75" s="6" t="s">
        <v>120</v>
      </c>
      <c r="D75" s="14">
        <v>0.25</v>
      </c>
      <c r="E75" s="29">
        <v>0.0391</v>
      </c>
      <c r="F75" s="6" t="s">
        <v>121</v>
      </c>
      <c r="G75" s="9" t="s">
        <v>12</v>
      </c>
    </row>
    <row r="76" spans="1:7" x14ac:dyDescent="0.25">
      <c r="A76" s="2" t="s">
        <v>98</v>
      </c>
      <c r="B76" s="3">
        <v>46265</v>
      </c>
      <c r="C76" s="2" t="s">
        <v>120</v>
      </c>
      <c r="D76" s="10">
        <v>0.3333333333333333</v>
      </c>
      <c r="E76" s="28">
        <v>0.039599999999999996</v>
      </c>
      <c r="F76" s="2" t="s">
        <v>121</v>
      </c>
      <c r="G76" s="5" t="s">
        <v>12</v>
      </c>
    </row>
    <row r="77" spans="1:7" x14ac:dyDescent="0.25">
      <c r="A77" s="6" t="s">
        <v>98</v>
      </c>
      <c r="B77" s="7">
        <v>46265</v>
      </c>
      <c r="C77" s="6" t="s">
        <v>120</v>
      </c>
      <c r="D77" s="14">
        <v>0.5</v>
      </c>
      <c r="E77" s="29">
        <v>0.039900000000000005</v>
      </c>
      <c r="F77" s="6" t="s">
        <v>121</v>
      </c>
      <c r="G77" s="9" t="s">
        <v>12</v>
      </c>
    </row>
    <row r="78" spans="1:7" x14ac:dyDescent="0.25">
      <c r="A78" s="2" t="s">
        <v>98</v>
      </c>
      <c r="B78" s="3">
        <v>46265</v>
      </c>
      <c r="C78" s="2" t="s">
        <v>120</v>
      </c>
      <c r="D78" s="10">
        <v>1</v>
      </c>
      <c r="E78" s="28">
        <v>0.0416</v>
      </c>
      <c r="F78" s="2" t="s">
        <v>121</v>
      </c>
      <c r="G78" s="5" t="s">
        <v>12</v>
      </c>
    </row>
    <row r="79" spans="1:7" x14ac:dyDescent="0.25">
      <c r="A79" s="6" t="s">
        <v>98</v>
      </c>
      <c r="B79" s="7">
        <v>46265</v>
      </c>
      <c r="C79" s="6" t="s">
        <v>120</v>
      </c>
      <c r="D79" s="14">
        <v>2</v>
      </c>
      <c r="E79" s="29">
        <v>0.0434</v>
      </c>
      <c r="F79" s="6" t="s">
        <v>121</v>
      </c>
      <c r="G79" s="9" t="s">
        <v>12</v>
      </c>
    </row>
    <row r="80" spans="1:7" x14ac:dyDescent="0.25">
      <c r="A80" s="2" t="s">
        <v>98</v>
      </c>
      <c r="B80" s="3">
        <v>46265</v>
      </c>
      <c r="C80" s="2" t="s">
        <v>120</v>
      </c>
      <c r="D80" s="10">
        <v>3</v>
      </c>
      <c r="E80" s="28">
        <v>0.044000000000000004</v>
      </c>
      <c r="F80" s="2" t="s">
        <v>121</v>
      </c>
      <c r="G80" s="5" t="s">
        <v>12</v>
      </c>
    </row>
    <row r="81" spans="1:7" x14ac:dyDescent="0.25">
      <c r="A81" s="6" t="s">
        <v>98</v>
      </c>
      <c r="B81" s="7">
        <v>46265</v>
      </c>
      <c r="C81" s="6" t="s">
        <v>120</v>
      </c>
      <c r="D81" s="14">
        <v>5</v>
      </c>
      <c r="E81" s="29">
        <v>0.0449</v>
      </c>
      <c r="F81" s="6" t="s">
        <v>121</v>
      </c>
      <c r="G81" s="9" t="s">
        <v>12</v>
      </c>
    </row>
    <row r="82" spans="1:7" x14ac:dyDescent="0.25">
      <c r="A82" s="2" t="s">
        <v>98</v>
      </c>
      <c r="B82" s="3">
        <v>46265</v>
      </c>
      <c r="C82" s="2" t="s">
        <v>120</v>
      </c>
      <c r="D82" s="10">
        <v>7</v>
      </c>
      <c r="E82" s="28">
        <v>0.0462</v>
      </c>
      <c r="F82" s="2" t="s">
        <v>121</v>
      </c>
      <c r="G82" s="5" t="s">
        <v>12</v>
      </c>
    </row>
    <row r="83" spans="1:7" x14ac:dyDescent="0.25">
      <c r="A83" s="6" t="s">
        <v>98</v>
      </c>
      <c r="B83" s="7">
        <v>46265</v>
      </c>
      <c r="C83" s="6" t="s">
        <v>120</v>
      </c>
      <c r="D83" s="14">
        <v>10</v>
      </c>
      <c r="E83" s="29">
        <v>0.0475</v>
      </c>
      <c r="F83" s="6" t="s">
        <v>121</v>
      </c>
      <c r="G83" s="9" t="s">
        <v>12</v>
      </c>
    </row>
    <row r="84" spans="1:7" x14ac:dyDescent="0.25">
      <c r="A84" s="2" t="s">
        <v>98</v>
      </c>
      <c r="B84" s="3">
        <v>46265</v>
      </c>
      <c r="C84" s="2" t="s">
        <v>120</v>
      </c>
      <c r="D84" s="10">
        <v>20</v>
      </c>
      <c r="E84" s="28">
        <v>0.0524</v>
      </c>
      <c r="F84" s="2" t="s">
        <v>121</v>
      </c>
      <c r="G84" s="5" t="s">
        <v>12</v>
      </c>
    </row>
    <row r="85" spans="1:7" x14ac:dyDescent="0.25">
      <c r="A85" s="6" t="s">
        <v>98</v>
      </c>
      <c r="B85" s="7">
        <v>46265</v>
      </c>
      <c r="C85" s="6" t="s">
        <v>120</v>
      </c>
      <c r="D85" s="14">
        <v>30</v>
      </c>
      <c r="E85" s="29">
        <v>0.0525</v>
      </c>
      <c r="F85" s="6" t="s">
        <v>121</v>
      </c>
      <c r="G85" s="9" t="s">
        <v>12</v>
      </c>
    </row>
    <row r="86" spans="1:7" x14ac:dyDescent="0.25">
      <c r="A86" s="2" t="s">
        <v>99</v>
      </c>
      <c r="B86" s="3">
        <v>46267</v>
      </c>
      <c r="C86" s="2" t="s">
        <v>120</v>
      </c>
      <c r="D86" s="10">
        <v>0.08333333333333333</v>
      </c>
      <c r="E86" s="28">
        <v>0.0383</v>
      </c>
      <c r="F86" s="2" t="s">
        <v>121</v>
      </c>
      <c r="G86" s="5" t="s">
        <v>12</v>
      </c>
    </row>
    <row r="87" spans="1:7" x14ac:dyDescent="0.25">
      <c r="A87" s="6" t="s">
        <v>99</v>
      </c>
      <c r="B87" s="7">
        <v>46267</v>
      </c>
      <c r="C87" s="6" t="s">
        <v>120</v>
      </c>
      <c r="D87" s="14">
        <v>0.125</v>
      </c>
      <c r="E87" s="29">
        <v>0.0387</v>
      </c>
      <c r="F87" s="6" t="s">
        <v>121</v>
      </c>
      <c r="G87" s="9" t="s">
        <v>12</v>
      </c>
    </row>
    <row r="88" spans="1:7" x14ac:dyDescent="0.25">
      <c r="A88" s="2" t="s">
        <v>99</v>
      </c>
      <c r="B88" s="3">
        <v>46267</v>
      </c>
      <c r="C88" s="2" t="s">
        <v>120</v>
      </c>
      <c r="D88" s="10">
        <v>0.16666666666666666</v>
      </c>
      <c r="E88" s="28">
        <v>0.038900000000000004</v>
      </c>
      <c r="F88" s="2" t="s">
        <v>121</v>
      </c>
      <c r="G88" s="5" t="s">
        <v>12</v>
      </c>
    </row>
    <row r="89" spans="1:7" x14ac:dyDescent="0.25">
      <c r="A89" s="6" t="s">
        <v>99</v>
      </c>
      <c r="B89" s="7">
        <v>46267</v>
      </c>
      <c r="C89" s="6" t="s">
        <v>120</v>
      </c>
      <c r="D89" s="14">
        <v>0.25</v>
      </c>
      <c r="E89" s="29">
        <v>0.0392</v>
      </c>
      <c r="F89" s="6" t="s">
        <v>121</v>
      </c>
      <c r="G89" s="9" t="s">
        <v>12</v>
      </c>
    </row>
    <row r="90" spans="1:7" x14ac:dyDescent="0.25">
      <c r="A90" s="2" t="s">
        <v>99</v>
      </c>
      <c r="B90" s="3">
        <v>46267</v>
      </c>
      <c r="C90" s="2" t="s">
        <v>120</v>
      </c>
      <c r="D90" s="10">
        <v>0.3333333333333333</v>
      </c>
      <c r="E90" s="28">
        <v>0.04019999999999999</v>
      </c>
      <c r="F90" s="2" t="s">
        <v>121</v>
      </c>
      <c r="G90" s="5" t="s">
        <v>12</v>
      </c>
    </row>
    <row r="91" spans="1:7" x14ac:dyDescent="0.25">
      <c r="A91" s="6" t="s">
        <v>99</v>
      </c>
      <c r="B91" s="7">
        <v>46267</v>
      </c>
      <c r="C91" s="6" t="s">
        <v>120</v>
      </c>
      <c r="D91" s="14">
        <v>0.5</v>
      </c>
      <c r="E91" s="29">
        <v>0.04</v>
      </c>
      <c r="F91" s="6" t="s">
        <v>121</v>
      </c>
      <c r="G91" s="9" t="s">
        <v>12</v>
      </c>
    </row>
    <row r="92" spans="1:7" x14ac:dyDescent="0.25">
      <c r="A92" s="2" t="s">
        <v>99</v>
      </c>
      <c r="B92" s="3">
        <v>46267</v>
      </c>
      <c r="C92" s="2" t="s">
        <v>120</v>
      </c>
      <c r="D92" s="10">
        <v>1</v>
      </c>
      <c r="E92" s="28">
        <v>0.0416</v>
      </c>
      <c r="F92" s="2" t="s">
        <v>121</v>
      </c>
      <c r="G92" s="5" t="s">
        <v>12</v>
      </c>
    </row>
    <row r="93" spans="1:7" x14ac:dyDescent="0.25">
      <c r="A93" s="6" t="s">
        <v>99</v>
      </c>
      <c r="B93" s="7">
        <v>46267</v>
      </c>
      <c r="C93" s="6" t="s">
        <v>120</v>
      </c>
      <c r="D93" s="14">
        <v>2</v>
      </c>
      <c r="E93" s="29">
        <v>0.043899999999999995</v>
      </c>
      <c r="F93" s="6" t="s">
        <v>121</v>
      </c>
      <c r="G93" s="9" t="s">
        <v>12</v>
      </c>
    </row>
    <row r="94" spans="1:7" x14ac:dyDescent="0.25">
      <c r="A94" s="2" t="s">
        <v>99</v>
      </c>
      <c r="B94" s="3">
        <v>46267</v>
      </c>
      <c r="C94" s="2" t="s">
        <v>120</v>
      </c>
      <c r="D94" s="10">
        <v>3</v>
      </c>
      <c r="E94" s="28">
        <v>0.044500000000000005</v>
      </c>
      <c r="F94" s="2" t="s">
        <v>121</v>
      </c>
      <c r="G94" s="5" t="s">
        <v>12</v>
      </c>
    </row>
    <row r="95" spans="1:7" x14ac:dyDescent="0.25">
      <c r="A95" s="6" t="s">
        <v>99</v>
      </c>
      <c r="B95" s="7">
        <v>46267</v>
      </c>
      <c r="C95" s="6" t="s">
        <v>120</v>
      </c>
      <c r="D95" s="14">
        <v>5</v>
      </c>
      <c r="E95" s="29">
        <v>0.0454</v>
      </c>
      <c r="F95" s="6" t="s">
        <v>121</v>
      </c>
      <c r="G95" s="9" t="s">
        <v>12</v>
      </c>
    </row>
    <row r="96" spans="1:7" x14ac:dyDescent="0.25">
      <c r="A96" s="2" t="s">
        <v>99</v>
      </c>
      <c r="B96" s="3">
        <v>46267</v>
      </c>
      <c r="C96" s="2" t="s">
        <v>120</v>
      </c>
      <c r="D96" s="10">
        <v>7</v>
      </c>
      <c r="E96" s="28">
        <v>0.0466</v>
      </c>
      <c r="F96" s="2" t="s">
        <v>121</v>
      </c>
      <c r="G96" s="5" t="s">
        <v>12</v>
      </c>
    </row>
    <row r="97" spans="1:7" x14ac:dyDescent="0.25">
      <c r="A97" s="6" t="s">
        <v>99</v>
      </c>
      <c r="B97" s="7">
        <v>46267</v>
      </c>
      <c r="C97" s="6" t="s">
        <v>120</v>
      </c>
      <c r="D97" s="14">
        <v>10</v>
      </c>
      <c r="E97" s="29">
        <v>0.0479</v>
      </c>
      <c r="F97" s="6" t="s">
        <v>121</v>
      </c>
      <c r="G97" s="9" t="s">
        <v>12</v>
      </c>
    </row>
    <row r="98" spans="1:7" x14ac:dyDescent="0.25">
      <c r="A98" s="2" t="s">
        <v>99</v>
      </c>
      <c r="B98" s="3">
        <v>46267</v>
      </c>
      <c r="C98" s="2" t="s">
        <v>120</v>
      </c>
      <c r="D98" s="10">
        <v>20</v>
      </c>
      <c r="E98" s="28">
        <v>0.0527</v>
      </c>
      <c r="F98" s="2" t="s">
        <v>121</v>
      </c>
      <c r="G98" s="5" t="s">
        <v>12</v>
      </c>
    </row>
    <row r="99" spans="1:7" x14ac:dyDescent="0.25">
      <c r="A99" s="6" t="s">
        <v>99</v>
      </c>
      <c r="B99" s="7">
        <v>46267</v>
      </c>
      <c r="C99" s="6" t="s">
        <v>120</v>
      </c>
      <c r="D99" s="14">
        <v>30</v>
      </c>
      <c r="E99" s="29">
        <v>0.0527</v>
      </c>
      <c r="F99" s="6" t="s">
        <v>121</v>
      </c>
      <c r="G99" s="9" t="s">
        <v>12</v>
      </c>
    </row>
    <row r="100" spans="1:7" x14ac:dyDescent="0.25">
      <c r="A100" s="2" t="s">
        <v>100</v>
      </c>
      <c r="B100" s="3">
        <v>46268</v>
      </c>
      <c r="C100" s="2" t="s">
        <v>120</v>
      </c>
      <c r="D100" s="10">
        <v>0.08333333333333333</v>
      </c>
      <c r="E100" s="28">
        <v>0.0383</v>
      </c>
      <c r="F100" s="2" t="s">
        <v>121</v>
      </c>
      <c r="G100" s="5" t="s">
        <v>12</v>
      </c>
    </row>
    <row r="101" spans="1:7" x14ac:dyDescent="0.25">
      <c r="A101" s="6" t="s">
        <v>100</v>
      </c>
      <c r="B101" s="7">
        <v>46268</v>
      </c>
      <c r="C101" s="6" t="s">
        <v>120</v>
      </c>
      <c r="D101" s="14">
        <v>0.125</v>
      </c>
      <c r="E101" s="29">
        <v>0.0382</v>
      </c>
      <c r="F101" s="6" t="s">
        <v>121</v>
      </c>
      <c r="G101" s="9" t="s">
        <v>12</v>
      </c>
    </row>
    <row r="102" spans="1:7" x14ac:dyDescent="0.25">
      <c r="A102" s="2" t="s">
        <v>100</v>
      </c>
      <c r="B102" s="3">
        <v>46268</v>
      </c>
      <c r="C102" s="2" t="s">
        <v>120</v>
      </c>
      <c r="D102" s="10">
        <v>0.16666666666666666</v>
      </c>
      <c r="E102" s="28">
        <v>0.0391</v>
      </c>
      <c r="F102" s="2" t="s">
        <v>121</v>
      </c>
      <c r="G102" s="5" t="s">
        <v>12</v>
      </c>
    </row>
    <row r="103" spans="1:7" x14ac:dyDescent="0.25">
      <c r="A103" s="6" t="s">
        <v>100</v>
      </c>
      <c r="B103" s="7">
        <v>46268</v>
      </c>
      <c r="C103" s="6" t="s">
        <v>120</v>
      </c>
      <c r="D103" s="14">
        <v>0.25</v>
      </c>
      <c r="E103" s="29">
        <v>0.038900000000000004</v>
      </c>
      <c r="F103" s="6" t="s">
        <v>121</v>
      </c>
      <c r="G103" s="9" t="s">
        <v>12</v>
      </c>
    </row>
    <row r="104" spans="1:7" x14ac:dyDescent="0.25">
      <c r="A104" s="2" t="s">
        <v>100</v>
      </c>
      <c r="B104" s="3">
        <v>46268</v>
      </c>
      <c r="C104" s="2" t="s">
        <v>120</v>
      </c>
      <c r="D104" s="10">
        <v>0.3333333333333333</v>
      </c>
      <c r="E104" s="28">
        <v>0.039900000000000005</v>
      </c>
      <c r="F104" s="2" t="s">
        <v>121</v>
      </c>
      <c r="G104" s="5" t="s">
        <v>12</v>
      </c>
    </row>
    <row r="105" spans="1:7" x14ac:dyDescent="0.25">
      <c r="A105" s="6" t="s">
        <v>100</v>
      </c>
      <c r="B105" s="7">
        <v>46268</v>
      </c>
      <c r="C105" s="6" t="s">
        <v>120</v>
      </c>
      <c r="D105" s="14">
        <v>0.5</v>
      </c>
      <c r="E105" s="29">
        <v>0.0395</v>
      </c>
      <c r="F105" s="6" t="s">
        <v>121</v>
      </c>
      <c r="G105" s="9" t="s">
        <v>12</v>
      </c>
    </row>
    <row r="106" spans="1:7" x14ac:dyDescent="0.25">
      <c r="A106" s="2" t="s">
        <v>100</v>
      </c>
      <c r="B106" s="3">
        <v>46268</v>
      </c>
      <c r="C106" s="2" t="s">
        <v>120</v>
      </c>
      <c r="D106" s="10">
        <v>1</v>
      </c>
      <c r="E106" s="28">
        <v>0.041100000000000005</v>
      </c>
      <c r="F106" s="2" t="s">
        <v>121</v>
      </c>
      <c r="G106" s="5" t="s">
        <v>12</v>
      </c>
    </row>
    <row r="107" spans="1:7" x14ac:dyDescent="0.25">
      <c r="A107" s="6" t="s">
        <v>100</v>
      </c>
      <c r="B107" s="7">
        <v>46268</v>
      </c>
      <c r="C107" s="6" t="s">
        <v>120</v>
      </c>
      <c r="D107" s="14">
        <v>2</v>
      </c>
      <c r="E107" s="29">
        <v>0.0434</v>
      </c>
      <c r="F107" s="6" t="s">
        <v>121</v>
      </c>
      <c r="G107" s="9" t="s">
        <v>12</v>
      </c>
    </row>
    <row r="108" spans="1:7" x14ac:dyDescent="0.25">
      <c r="A108" s="2" t="s">
        <v>100</v>
      </c>
      <c r="B108" s="3">
        <v>46268</v>
      </c>
      <c r="C108" s="2" t="s">
        <v>120</v>
      </c>
      <c r="D108" s="10">
        <v>3</v>
      </c>
      <c r="E108" s="28">
        <v>0.0441</v>
      </c>
      <c r="F108" s="2" t="s">
        <v>121</v>
      </c>
      <c r="G108" s="5" t="s">
        <v>12</v>
      </c>
    </row>
    <row r="109" spans="1:7" x14ac:dyDescent="0.25">
      <c r="A109" s="6" t="s">
        <v>100</v>
      </c>
      <c r="B109" s="7">
        <v>46268</v>
      </c>
      <c r="C109" s="6" t="s">
        <v>120</v>
      </c>
      <c r="D109" s="14">
        <v>5</v>
      </c>
      <c r="E109" s="29">
        <v>0.0452</v>
      </c>
      <c r="F109" s="6" t="s">
        <v>121</v>
      </c>
      <c r="G109" s="9" t="s">
        <v>12</v>
      </c>
    </row>
    <row r="110" spans="1:7" x14ac:dyDescent="0.25">
      <c r="A110" s="2" t="s">
        <v>100</v>
      </c>
      <c r="B110" s="3">
        <v>46268</v>
      </c>
      <c r="C110" s="2" t="s">
        <v>120</v>
      </c>
      <c r="D110" s="10">
        <v>7</v>
      </c>
      <c r="E110" s="28">
        <v>0.0463</v>
      </c>
      <c r="F110" s="2" t="s">
        <v>121</v>
      </c>
      <c r="G110" s="5" t="s">
        <v>12</v>
      </c>
    </row>
    <row r="111" spans="1:7" x14ac:dyDescent="0.25">
      <c r="A111" s="6" t="s">
        <v>100</v>
      </c>
      <c r="B111" s="7">
        <v>46268</v>
      </c>
      <c r="C111" s="6" t="s">
        <v>120</v>
      </c>
      <c r="D111" s="14">
        <v>10</v>
      </c>
      <c r="E111" s="29">
        <v>0.04769999999999999</v>
      </c>
      <c r="F111" s="6" t="s">
        <v>121</v>
      </c>
      <c r="G111" s="9" t="s">
        <v>12</v>
      </c>
    </row>
    <row r="112" spans="1:7" x14ac:dyDescent="0.25">
      <c r="A112" s="2" t="s">
        <v>100</v>
      </c>
      <c r="B112" s="3">
        <v>46268</v>
      </c>
      <c r="C112" s="2" t="s">
        <v>120</v>
      </c>
      <c r="D112" s="10">
        <v>20</v>
      </c>
      <c r="E112" s="28">
        <v>0.0525</v>
      </c>
      <c r="F112" s="2" t="s">
        <v>121</v>
      </c>
      <c r="G112" s="5" t="s">
        <v>12</v>
      </c>
    </row>
    <row r="113" spans="1:7" x14ac:dyDescent="0.25">
      <c r="A113" s="6" t="s">
        <v>100</v>
      </c>
      <c r="B113" s="7">
        <v>46268</v>
      </c>
      <c r="C113" s="6" t="s">
        <v>120</v>
      </c>
      <c r="D113" s="14">
        <v>30</v>
      </c>
      <c r="E113" s="29">
        <v>0.0525</v>
      </c>
      <c r="F113" s="6" t="s">
        <v>121</v>
      </c>
      <c r="G113" s="9" t="s">
        <v>12</v>
      </c>
    </row>
    <row r="114" spans="1:7" x14ac:dyDescent="0.25">
      <c r="A114" s="2" t="s">
        <v>101</v>
      </c>
      <c r="B114" s="3">
        <v>46269</v>
      </c>
      <c r="C114" s="2" t="s">
        <v>120</v>
      </c>
      <c r="D114" s="10">
        <v>0.08333333333333333</v>
      </c>
      <c r="E114" s="28">
        <v>0.0379</v>
      </c>
      <c r="F114" s="2" t="s">
        <v>121</v>
      </c>
      <c r="G114" s="5" t="s">
        <v>12</v>
      </c>
    </row>
    <row r="115" spans="1:7" x14ac:dyDescent="0.25">
      <c r="A115" s="6" t="s">
        <v>101</v>
      </c>
      <c r="B115" s="7">
        <v>46269</v>
      </c>
      <c r="C115" s="6" t="s">
        <v>120</v>
      </c>
      <c r="D115" s="14">
        <v>0.125</v>
      </c>
      <c r="E115" s="29">
        <v>0.0383</v>
      </c>
      <c r="F115" s="6" t="s">
        <v>121</v>
      </c>
      <c r="G115" s="9" t="s">
        <v>12</v>
      </c>
    </row>
    <row r="116" spans="1:7" x14ac:dyDescent="0.25">
      <c r="A116" s="2" t="s">
        <v>101</v>
      </c>
      <c r="B116" s="3">
        <v>46269</v>
      </c>
      <c r="C116" s="2" t="s">
        <v>120</v>
      </c>
      <c r="D116" s="10">
        <v>0.16666666666666666</v>
      </c>
      <c r="E116" s="28">
        <v>0.039</v>
      </c>
      <c r="F116" s="2" t="s">
        <v>121</v>
      </c>
      <c r="G116" s="5" t="s">
        <v>12</v>
      </c>
    </row>
    <row r="117" spans="1:7" x14ac:dyDescent="0.25">
      <c r="A117" s="6" t="s">
        <v>101</v>
      </c>
      <c r="B117" s="7">
        <v>46269</v>
      </c>
      <c r="C117" s="6" t="s">
        <v>120</v>
      </c>
      <c r="D117" s="14">
        <v>0.25</v>
      </c>
      <c r="E117" s="29">
        <v>0.0391</v>
      </c>
      <c r="F117" s="6" t="s">
        <v>121</v>
      </c>
      <c r="G117" s="9" t="s">
        <v>12</v>
      </c>
    </row>
    <row r="118" spans="1:7" x14ac:dyDescent="0.25">
      <c r="A118" s="2" t="s">
        <v>101</v>
      </c>
      <c r="B118" s="3">
        <v>46269</v>
      </c>
      <c r="C118" s="2" t="s">
        <v>120</v>
      </c>
      <c r="D118" s="10">
        <v>0.3333333333333333</v>
      </c>
      <c r="E118" s="28">
        <v>0.04</v>
      </c>
      <c r="F118" s="2" t="s">
        <v>121</v>
      </c>
      <c r="G118" s="5" t="s">
        <v>12</v>
      </c>
    </row>
    <row r="119" spans="1:7" x14ac:dyDescent="0.25">
      <c r="A119" s="6" t="s">
        <v>101</v>
      </c>
      <c r="B119" s="7">
        <v>46269</v>
      </c>
      <c r="C119" s="6" t="s">
        <v>120</v>
      </c>
      <c r="D119" s="14">
        <v>0.5</v>
      </c>
      <c r="E119" s="29">
        <v>0.0398</v>
      </c>
      <c r="F119" s="6" t="s">
        <v>121</v>
      </c>
      <c r="G119" s="9" t="s">
        <v>12</v>
      </c>
    </row>
    <row r="120" spans="1:7" x14ac:dyDescent="0.25">
      <c r="A120" s="2" t="s">
        <v>101</v>
      </c>
      <c r="B120" s="3">
        <v>46269</v>
      </c>
      <c r="C120" s="2" t="s">
        <v>120</v>
      </c>
      <c r="D120" s="10">
        <v>1</v>
      </c>
      <c r="E120" s="28">
        <v>0.041299999999999996</v>
      </c>
      <c r="F120" s="2" t="s">
        <v>121</v>
      </c>
      <c r="G120" s="5" t="s">
        <v>12</v>
      </c>
    </row>
    <row r="121" spans="1:7" x14ac:dyDescent="0.25">
      <c r="A121" s="6" t="s">
        <v>101</v>
      </c>
      <c r="B121" s="7">
        <v>46269</v>
      </c>
      <c r="C121" s="6" t="s">
        <v>120</v>
      </c>
      <c r="D121" s="14">
        <v>2</v>
      </c>
      <c r="E121" s="29">
        <v>0.0437</v>
      </c>
      <c r="F121" s="6" t="s">
        <v>121</v>
      </c>
      <c r="G121" s="9" t="s">
        <v>12</v>
      </c>
    </row>
    <row r="122" spans="1:7" x14ac:dyDescent="0.25">
      <c r="A122" s="2" t="s">
        <v>101</v>
      </c>
      <c r="B122" s="3">
        <v>46269</v>
      </c>
      <c r="C122" s="2" t="s">
        <v>120</v>
      </c>
      <c r="D122" s="10">
        <v>3</v>
      </c>
      <c r="E122" s="28">
        <v>0.044500000000000005</v>
      </c>
      <c r="F122" s="2" t="s">
        <v>121</v>
      </c>
      <c r="G122" s="5" t="s">
        <v>12</v>
      </c>
    </row>
    <row r="123" spans="1:7" x14ac:dyDescent="0.25">
      <c r="A123" s="6" t="s">
        <v>101</v>
      </c>
      <c r="B123" s="7">
        <v>46269</v>
      </c>
      <c r="C123" s="6" t="s">
        <v>120</v>
      </c>
      <c r="D123" s="14">
        <v>5</v>
      </c>
      <c r="E123" s="29">
        <v>0.0454</v>
      </c>
      <c r="F123" s="6" t="s">
        <v>121</v>
      </c>
      <c r="G123" s="9" t="s">
        <v>12</v>
      </c>
    </row>
    <row r="124" spans="1:7" x14ac:dyDescent="0.25">
      <c r="A124" s="2" t="s">
        <v>101</v>
      </c>
      <c r="B124" s="3">
        <v>46269</v>
      </c>
      <c r="C124" s="2" t="s">
        <v>120</v>
      </c>
      <c r="D124" s="10">
        <v>7</v>
      </c>
      <c r="E124" s="28">
        <v>0.04650000000000001</v>
      </c>
      <c r="F124" s="2" t="s">
        <v>121</v>
      </c>
      <c r="G124" s="5" t="s">
        <v>12</v>
      </c>
    </row>
    <row r="125" spans="1:7" x14ac:dyDescent="0.25">
      <c r="A125" s="6" t="s">
        <v>101</v>
      </c>
      <c r="B125" s="7">
        <v>46269</v>
      </c>
      <c r="C125" s="6" t="s">
        <v>120</v>
      </c>
      <c r="D125" s="14">
        <v>10</v>
      </c>
      <c r="E125" s="29">
        <v>0.0478</v>
      </c>
      <c r="F125" s="6" t="s">
        <v>121</v>
      </c>
      <c r="G125" s="9" t="s">
        <v>12</v>
      </c>
    </row>
    <row r="126" spans="1:7" x14ac:dyDescent="0.25">
      <c r="A126" s="2" t="s">
        <v>101</v>
      </c>
      <c r="B126" s="3">
        <v>46269</v>
      </c>
      <c r="C126" s="2" t="s">
        <v>120</v>
      </c>
      <c r="D126" s="10">
        <v>20</v>
      </c>
      <c r="E126" s="28">
        <v>0.0525</v>
      </c>
      <c r="F126" s="2" t="s">
        <v>121</v>
      </c>
      <c r="G126" s="5" t="s">
        <v>12</v>
      </c>
    </row>
    <row r="127" spans="1:7" x14ac:dyDescent="0.25">
      <c r="A127" s="6" t="s">
        <v>101</v>
      </c>
      <c r="B127" s="7">
        <v>46269</v>
      </c>
      <c r="C127" s="6" t="s">
        <v>120</v>
      </c>
      <c r="D127" s="14">
        <v>30</v>
      </c>
      <c r="E127" s="29">
        <v>0.0524</v>
      </c>
      <c r="F127" s="6" t="s">
        <v>121</v>
      </c>
      <c r="G127" s="9" t="s">
        <v>12</v>
      </c>
    </row>
    <row r="128" spans="1:7" x14ac:dyDescent="0.25">
      <c r="A128" s="2" t="s">
        <v>102</v>
      </c>
      <c r="B128" s="3">
        <v>46273</v>
      </c>
      <c r="C128" s="2" t="s">
        <v>120</v>
      </c>
      <c r="D128" s="10">
        <v>0.08333333333333333</v>
      </c>
      <c r="E128" s="28">
        <v>0.0381</v>
      </c>
      <c r="F128" s="2" t="s">
        <v>121</v>
      </c>
      <c r="G128" s="5" t="s">
        <v>12</v>
      </c>
    </row>
    <row r="129" spans="1:7" x14ac:dyDescent="0.25">
      <c r="A129" s="6" t="s">
        <v>102</v>
      </c>
      <c r="B129" s="7">
        <v>46273</v>
      </c>
      <c r="C129" s="6" t="s">
        <v>120</v>
      </c>
      <c r="D129" s="14">
        <v>0.125</v>
      </c>
      <c r="E129" s="29">
        <v>0.0388</v>
      </c>
      <c r="F129" s="6" t="s">
        <v>121</v>
      </c>
      <c r="G129" s="9" t="s">
        <v>12</v>
      </c>
    </row>
    <row r="130" spans="1:7" x14ac:dyDescent="0.25">
      <c r="A130" s="2" t="s">
        <v>102</v>
      </c>
      <c r="B130" s="3">
        <v>46273</v>
      </c>
      <c r="C130" s="2" t="s">
        <v>120</v>
      </c>
      <c r="D130" s="10">
        <v>0.16666666666666666</v>
      </c>
      <c r="E130" s="28">
        <v>0.0391</v>
      </c>
      <c r="F130" s="2" t="s">
        <v>121</v>
      </c>
      <c r="G130" s="5" t="s">
        <v>12</v>
      </c>
    </row>
    <row r="131" spans="1:7" x14ac:dyDescent="0.25">
      <c r="A131" s="6" t="s">
        <v>102</v>
      </c>
      <c r="B131" s="7">
        <v>46273</v>
      </c>
      <c r="C131" s="6" t="s">
        <v>120</v>
      </c>
      <c r="D131" s="14">
        <v>0.25</v>
      </c>
      <c r="E131" s="29">
        <v>0.0394</v>
      </c>
      <c r="F131" s="6" t="s">
        <v>121</v>
      </c>
      <c r="G131" s="9" t="s">
        <v>12</v>
      </c>
    </row>
    <row r="132" spans="1:7" x14ac:dyDescent="0.25">
      <c r="A132" s="2" t="s">
        <v>102</v>
      </c>
      <c r="B132" s="3">
        <v>46273</v>
      </c>
      <c r="C132" s="2" t="s">
        <v>120</v>
      </c>
      <c r="D132" s="10">
        <v>0.3333333333333333</v>
      </c>
      <c r="E132" s="28">
        <v>0.04019999999999999</v>
      </c>
      <c r="F132" s="2" t="s">
        <v>121</v>
      </c>
      <c r="G132" s="5" t="s">
        <v>12</v>
      </c>
    </row>
    <row r="133" spans="1:7" x14ac:dyDescent="0.25">
      <c r="A133" s="6" t="s">
        <v>102</v>
      </c>
      <c r="B133" s="7">
        <v>46273</v>
      </c>
      <c r="C133" s="6" t="s">
        <v>120</v>
      </c>
      <c r="D133" s="14">
        <v>0.5</v>
      </c>
      <c r="E133" s="29">
        <v>0.04</v>
      </c>
      <c r="F133" s="6" t="s">
        <v>121</v>
      </c>
      <c r="G133" s="9" t="s">
        <v>12</v>
      </c>
    </row>
    <row r="134" spans="1:7" x14ac:dyDescent="0.25">
      <c r="A134" s="2" t="s">
        <v>102</v>
      </c>
      <c r="B134" s="3">
        <v>46273</v>
      </c>
      <c r="C134" s="2" t="s">
        <v>120</v>
      </c>
      <c r="D134" s="10">
        <v>1</v>
      </c>
      <c r="E134" s="28">
        <v>0.0415</v>
      </c>
      <c r="F134" s="2" t="s">
        <v>121</v>
      </c>
      <c r="G134" s="5" t="s">
        <v>12</v>
      </c>
    </row>
    <row r="135" spans="1:7" x14ac:dyDescent="0.25">
      <c r="A135" s="6" t="s">
        <v>102</v>
      </c>
      <c r="B135" s="7">
        <v>46273</v>
      </c>
      <c r="C135" s="6" t="s">
        <v>120</v>
      </c>
      <c r="D135" s="14">
        <v>2</v>
      </c>
      <c r="E135" s="29">
        <v>0.043899999999999995</v>
      </c>
      <c r="F135" s="6" t="s">
        <v>121</v>
      </c>
      <c r="G135" s="9" t="s">
        <v>12</v>
      </c>
    </row>
    <row r="136" spans="1:7" x14ac:dyDescent="0.25">
      <c r="A136" s="2" t="s">
        <v>102</v>
      </c>
      <c r="B136" s="3">
        <v>46273</v>
      </c>
      <c r="C136" s="2" t="s">
        <v>120</v>
      </c>
      <c r="D136" s="10">
        <v>3</v>
      </c>
      <c r="E136" s="28">
        <v>0.0444</v>
      </c>
      <c r="F136" s="2" t="s">
        <v>121</v>
      </c>
      <c r="G136" s="5" t="s">
        <v>12</v>
      </c>
    </row>
    <row r="137" spans="1:7" x14ac:dyDescent="0.25">
      <c r="A137" s="6" t="s">
        <v>102</v>
      </c>
      <c r="B137" s="7">
        <v>46273</v>
      </c>
      <c r="C137" s="6" t="s">
        <v>120</v>
      </c>
      <c r="D137" s="14">
        <v>5</v>
      </c>
      <c r="E137" s="29">
        <v>0.045700000000000005</v>
      </c>
      <c r="F137" s="6" t="s">
        <v>121</v>
      </c>
      <c r="G137" s="9" t="s">
        <v>12</v>
      </c>
    </row>
    <row r="138" spans="1:7" x14ac:dyDescent="0.25">
      <c r="A138" s="2" t="s">
        <v>102</v>
      </c>
      <c r="B138" s="3">
        <v>46273</v>
      </c>
      <c r="C138" s="2" t="s">
        <v>120</v>
      </c>
      <c r="D138" s="10">
        <v>7</v>
      </c>
      <c r="E138" s="28">
        <v>0.046799999999999994</v>
      </c>
      <c r="F138" s="2" t="s">
        <v>121</v>
      </c>
      <c r="G138" s="5" t="s">
        <v>12</v>
      </c>
    </row>
    <row r="139" spans="1:7" x14ac:dyDescent="0.25">
      <c r="A139" s="6" t="s">
        <v>102</v>
      </c>
      <c r="B139" s="7">
        <v>46273</v>
      </c>
      <c r="C139" s="6" t="s">
        <v>120</v>
      </c>
      <c r="D139" s="14">
        <v>10</v>
      </c>
      <c r="E139" s="29">
        <v>0.048</v>
      </c>
      <c r="F139" s="6" t="s">
        <v>121</v>
      </c>
      <c r="G139" s="9" t="s">
        <v>12</v>
      </c>
    </row>
    <row r="140" spans="1:7" x14ac:dyDescent="0.25">
      <c r="A140" s="2" t="s">
        <v>102</v>
      </c>
      <c r="B140" s="3">
        <v>46273</v>
      </c>
      <c r="C140" s="2" t="s">
        <v>120</v>
      </c>
      <c r="D140" s="10">
        <v>20</v>
      </c>
      <c r="E140" s="28">
        <v>0.0526</v>
      </c>
      <c r="F140" s="2" t="s">
        <v>121</v>
      </c>
      <c r="G140" s="5" t="s">
        <v>12</v>
      </c>
    </row>
    <row r="141" spans="1:7" x14ac:dyDescent="0.25">
      <c r="A141" s="6" t="s">
        <v>102</v>
      </c>
      <c r="B141" s="7">
        <v>46273</v>
      </c>
      <c r="C141" s="6" t="s">
        <v>120</v>
      </c>
      <c r="D141" s="14">
        <v>30</v>
      </c>
      <c r="E141" s="29">
        <v>0.0525</v>
      </c>
      <c r="F141" s="6" t="s">
        <v>121</v>
      </c>
      <c r="G141" s="9" t="s">
        <v>12</v>
      </c>
    </row>
    <row r="142" spans="1:7" x14ac:dyDescent="0.25">
      <c r="A142" s="2" t="s">
        <v>103</v>
      </c>
      <c r="B142" s="3">
        <v>46274</v>
      </c>
      <c r="C142" s="2" t="s">
        <v>120</v>
      </c>
      <c r="D142" s="10">
        <v>0.08333333333333333</v>
      </c>
      <c r="E142" s="28">
        <v>0.0381</v>
      </c>
      <c r="F142" s="2" t="s">
        <v>121</v>
      </c>
      <c r="G142" s="5" t="s">
        <v>12</v>
      </c>
    </row>
    <row r="143" spans="1:7" x14ac:dyDescent="0.25">
      <c r="A143" s="6" t="s">
        <v>103</v>
      </c>
      <c r="B143" s="7">
        <v>46274</v>
      </c>
      <c r="C143" s="6" t="s">
        <v>120</v>
      </c>
      <c r="D143" s="14">
        <v>0.125</v>
      </c>
      <c r="E143" s="29">
        <v>0.0388</v>
      </c>
      <c r="F143" s="6" t="s">
        <v>121</v>
      </c>
      <c r="G143" s="9" t="s">
        <v>12</v>
      </c>
    </row>
    <row r="144" spans="1:7" x14ac:dyDescent="0.25">
      <c r="A144" s="2" t="s">
        <v>103</v>
      </c>
      <c r="B144" s="3">
        <v>46274</v>
      </c>
      <c r="C144" s="2" t="s">
        <v>120</v>
      </c>
      <c r="D144" s="10">
        <v>0.16666666666666666</v>
      </c>
      <c r="E144" s="28">
        <v>0.0393</v>
      </c>
      <c r="F144" s="2" t="s">
        <v>121</v>
      </c>
      <c r="G144" s="5" t="s">
        <v>12</v>
      </c>
    </row>
    <row r="145" spans="1:7" x14ac:dyDescent="0.25">
      <c r="A145" s="6" t="s">
        <v>103</v>
      </c>
      <c r="B145" s="7">
        <v>46274</v>
      </c>
      <c r="C145" s="6" t="s">
        <v>120</v>
      </c>
      <c r="D145" s="14">
        <v>0.25</v>
      </c>
      <c r="E145" s="29">
        <v>0.0395</v>
      </c>
      <c r="F145" s="6" t="s">
        <v>121</v>
      </c>
      <c r="G145" s="9" t="s">
        <v>12</v>
      </c>
    </row>
    <row r="146" spans="1:7" x14ac:dyDescent="0.25">
      <c r="A146" s="2" t="s">
        <v>103</v>
      </c>
      <c r="B146" s="3">
        <v>46274</v>
      </c>
      <c r="C146" s="2" t="s">
        <v>120</v>
      </c>
      <c r="D146" s="10">
        <v>0.3333333333333333</v>
      </c>
      <c r="E146" s="28">
        <v>0.0406</v>
      </c>
      <c r="F146" s="2" t="s">
        <v>121</v>
      </c>
      <c r="G146" s="5" t="s">
        <v>12</v>
      </c>
    </row>
    <row r="147" spans="1:7" x14ac:dyDescent="0.25">
      <c r="A147" s="6" t="s">
        <v>103</v>
      </c>
      <c r="B147" s="7">
        <v>46274</v>
      </c>
      <c r="C147" s="6" t="s">
        <v>120</v>
      </c>
      <c r="D147" s="14">
        <v>0.5</v>
      </c>
      <c r="E147" s="29">
        <v>0.0401</v>
      </c>
      <c r="F147" s="6" t="s">
        <v>121</v>
      </c>
      <c r="G147" s="9" t="s">
        <v>12</v>
      </c>
    </row>
    <row r="148" spans="1:7" x14ac:dyDescent="0.25">
      <c r="A148" s="2" t="s">
        <v>103</v>
      </c>
      <c r="B148" s="3">
        <v>46274</v>
      </c>
      <c r="C148" s="2" t="s">
        <v>120</v>
      </c>
      <c r="D148" s="10">
        <v>1</v>
      </c>
      <c r="E148" s="28">
        <v>0.0417</v>
      </c>
      <c r="F148" s="2" t="s">
        <v>121</v>
      </c>
      <c r="G148" s="5" t="s">
        <v>12</v>
      </c>
    </row>
    <row r="149" spans="1:7" x14ac:dyDescent="0.25">
      <c r="A149" s="6" t="s">
        <v>103</v>
      </c>
      <c r="B149" s="7">
        <v>46274</v>
      </c>
      <c r="C149" s="6" t="s">
        <v>120</v>
      </c>
      <c r="D149" s="14">
        <v>2</v>
      </c>
      <c r="E149" s="29">
        <v>0.0443</v>
      </c>
      <c r="F149" s="6" t="s">
        <v>121</v>
      </c>
      <c r="G149" s="9" t="s">
        <v>12</v>
      </c>
    </row>
    <row r="150" spans="1:7" x14ac:dyDescent="0.25">
      <c r="A150" s="2" t="s">
        <v>103</v>
      </c>
      <c r="B150" s="3">
        <v>46274</v>
      </c>
      <c r="C150" s="2" t="s">
        <v>120</v>
      </c>
      <c r="D150" s="10">
        <v>3</v>
      </c>
      <c r="E150" s="28">
        <v>0.0449</v>
      </c>
      <c r="F150" s="2" t="s">
        <v>121</v>
      </c>
      <c r="G150" s="5" t="s">
        <v>12</v>
      </c>
    </row>
    <row r="151" spans="1:7" x14ac:dyDescent="0.25">
      <c r="A151" s="6" t="s">
        <v>103</v>
      </c>
      <c r="B151" s="7">
        <v>46274</v>
      </c>
      <c r="C151" s="6" t="s">
        <v>120</v>
      </c>
      <c r="D151" s="14">
        <v>5</v>
      </c>
      <c r="E151" s="29">
        <v>0.0461</v>
      </c>
      <c r="F151" s="6" t="s">
        <v>121</v>
      </c>
      <c r="G151" s="9" t="s">
        <v>12</v>
      </c>
    </row>
    <row r="152" spans="1:7" x14ac:dyDescent="0.25">
      <c r="A152" s="2" t="s">
        <v>103</v>
      </c>
      <c r="B152" s="3">
        <v>46274</v>
      </c>
      <c r="C152" s="2" t="s">
        <v>120</v>
      </c>
      <c r="D152" s="10">
        <v>7</v>
      </c>
      <c r="E152" s="28">
        <v>0.0471</v>
      </c>
      <c r="F152" s="2" t="s">
        <v>121</v>
      </c>
      <c r="G152" s="5" t="s">
        <v>12</v>
      </c>
    </row>
    <row r="153" spans="1:7" x14ac:dyDescent="0.25">
      <c r="A153" s="6" t="s">
        <v>103</v>
      </c>
      <c r="B153" s="7">
        <v>46274</v>
      </c>
      <c r="C153" s="6" t="s">
        <v>120</v>
      </c>
      <c r="D153" s="14">
        <v>10</v>
      </c>
      <c r="E153" s="29">
        <v>0.0483</v>
      </c>
      <c r="F153" s="6" t="s">
        <v>121</v>
      </c>
      <c r="G153" s="9" t="s">
        <v>12</v>
      </c>
    </row>
    <row r="154" spans="1:7" x14ac:dyDescent="0.25">
      <c r="A154" s="2" t="s">
        <v>103</v>
      </c>
      <c r="B154" s="3">
        <v>46274</v>
      </c>
      <c r="C154" s="2" t="s">
        <v>120</v>
      </c>
      <c r="D154" s="10">
        <v>20</v>
      </c>
      <c r="E154" s="28">
        <v>0.0528</v>
      </c>
      <c r="F154" s="2" t="s">
        <v>121</v>
      </c>
      <c r="G154" s="5" t="s">
        <v>12</v>
      </c>
    </row>
    <row r="155" spans="1:7" x14ac:dyDescent="0.25">
      <c r="A155" s="6" t="s">
        <v>103</v>
      </c>
      <c r="B155" s="7">
        <v>46274</v>
      </c>
      <c r="C155" s="6" t="s">
        <v>120</v>
      </c>
      <c r="D155" s="14">
        <v>30</v>
      </c>
      <c r="E155" s="29">
        <v>0.0528</v>
      </c>
      <c r="F155" s="6" t="s">
        <v>121</v>
      </c>
      <c r="G155" s="9" t="s">
        <v>12</v>
      </c>
    </row>
    <row r="156" spans="1:7" x14ac:dyDescent="0.25">
      <c r="A156" s="2" t="s">
        <v>104</v>
      </c>
      <c r="B156" s="3">
        <v>46275</v>
      </c>
      <c r="C156" s="2" t="s">
        <v>120</v>
      </c>
      <c r="D156" s="10">
        <v>0.08333333333333333</v>
      </c>
      <c r="E156" s="28">
        <v>0.0391</v>
      </c>
      <c r="F156" s="2" t="s">
        <v>121</v>
      </c>
      <c r="G156" s="5" t="s">
        <v>12</v>
      </c>
    </row>
    <row r="157" spans="1:7" x14ac:dyDescent="0.25">
      <c r="A157" s="6" t="s">
        <v>104</v>
      </c>
      <c r="B157" s="7">
        <v>46275</v>
      </c>
      <c r="C157" s="6" t="s">
        <v>120</v>
      </c>
      <c r="D157" s="14">
        <v>0.125</v>
      </c>
      <c r="E157" s="29">
        <v>0.0393</v>
      </c>
      <c r="F157" s="6" t="s">
        <v>121</v>
      </c>
      <c r="G157" s="9" t="s">
        <v>12</v>
      </c>
    </row>
    <row r="158" spans="1:7" x14ac:dyDescent="0.25">
      <c r="A158" s="2" t="s">
        <v>104</v>
      </c>
      <c r="B158" s="3">
        <v>46275</v>
      </c>
      <c r="C158" s="2" t="s">
        <v>120</v>
      </c>
      <c r="D158" s="10">
        <v>0.16666666666666666</v>
      </c>
      <c r="E158" s="28">
        <v>0.0401</v>
      </c>
      <c r="F158" s="2" t="s">
        <v>121</v>
      </c>
      <c r="G158" s="5" t="s">
        <v>12</v>
      </c>
    </row>
    <row r="159" spans="1:7" x14ac:dyDescent="0.25">
      <c r="A159" s="6" t="s">
        <v>104</v>
      </c>
      <c r="B159" s="7">
        <v>46275</v>
      </c>
      <c r="C159" s="6" t="s">
        <v>120</v>
      </c>
      <c r="D159" s="14">
        <v>0.25</v>
      </c>
      <c r="E159" s="29">
        <v>0.04</v>
      </c>
      <c r="F159" s="6" t="s">
        <v>121</v>
      </c>
      <c r="G159" s="9" t="s">
        <v>12</v>
      </c>
    </row>
    <row r="160" spans="1:7" x14ac:dyDescent="0.25">
      <c r="A160" s="2" t="s">
        <v>104</v>
      </c>
      <c r="B160" s="3">
        <v>46275</v>
      </c>
      <c r="C160" s="2" t="s">
        <v>120</v>
      </c>
      <c r="D160" s="10">
        <v>0.3333333333333333</v>
      </c>
      <c r="E160" s="28">
        <v>0.041100000000000005</v>
      </c>
      <c r="F160" s="2" t="s">
        <v>121</v>
      </c>
      <c r="G160" s="5" t="s">
        <v>12</v>
      </c>
    </row>
    <row r="161" spans="1:7" x14ac:dyDescent="0.25">
      <c r="A161" s="6" t="s">
        <v>104</v>
      </c>
      <c r="B161" s="7">
        <v>46275</v>
      </c>
      <c r="C161" s="6" t="s">
        <v>120</v>
      </c>
      <c r="D161" s="14">
        <v>0.5</v>
      </c>
      <c r="E161" s="29">
        <v>0.0407</v>
      </c>
      <c r="F161" s="6" t="s">
        <v>121</v>
      </c>
      <c r="G161" s="9" t="s">
        <v>12</v>
      </c>
    </row>
    <row r="162" spans="1:7" x14ac:dyDescent="0.25">
      <c r="A162" s="2" t="s">
        <v>104</v>
      </c>
      <c r="B162" s="3">
        <v>46275</v>
      </c>
      <c r="C162" s="2" t="s">
        <v>120</v>
      </c>
      <c r="D162" s="10">
        <v>1</v>
      </c>
      <c r="E162" s="28">
        <v>0.042800000000000005</v>
      </c>
      <c r="F162" s="2" t="s">
        <v>121</v>
      </c>
      <c r="G162" s="5" t="s">
        <v>12</v>
      </c>
    </row>
    <row r="163" spans="1:7" x14ac:dyDescent="0.25">
      <c r="A163" s="6" t="s">
        <v>104</v>
      </c>
      <c r="B163" s="7">
        <v>46275</v>
      </c>
      <c r="C163" s="6" t="s">
        <v>120</v>
      </c>
      <c r="D163" s="14">
        <v>2</v>
      </c>
      <c r="E163" s="29">
        <v>0.045599999999999995</v>
      </c>
      <c r="F163" s="6" t="s">
        <v>121</v>
      </c>
      <c r="G163" s="9" t="s">
        <v>12</v>
      </c>
    </row>
    <row r="164" spans="1:7" x14ac:dyDescent="0.25">
      <c r="A164" s="2" t="s">
        <v>104</v>
      </c>
      <c r="B164" s="3">
        <v>46275</v>
      </c>
      <c r="C164" s="2" t="s">
        <v>120</v>
      </c>
      <c r="D164" s="10">
        <v>3</v>
      </c>
      <c r="E164" s="28">
        <v>0.0463</v>
      </c>
      <c r="F164" s="2" t="s">
        <v>121</v>
      </c>
      <c r="G164" s="5" t="s">
        <v>12</v>
      </c>
    </row>
    <row r="165" spans="1:7" x14ac:dyDescent="0.25">
      <c r="A165" s="6" t="s">
        <v>104</v>
      </c>
      <c r="B165" s="7">
        <v>46275</v>
      </c>
      <c r="C165" s="6" t="s">
        <v>120</v>
      </c>
      <c r="D165" s="14">
        <v>5</v>
      </c>
      <c r="E165" s="29">
        <v>0.0475</v>
      </c>
      <c r="F165" s="6" t="s">
        <v>121</v>
      </c>
      <c r="G165" s="9" t="s">
        <v>12</v>
      </c>
    </row>
    <row r="166" spans="1:7" x14ac:dyDescent="0.25">
      <c r="A166" s="2" t="s">
        <v>104</v>
      </c>
      <c r="B166" s="3">
        <v>46275</v>
      </c>
      <c r="C166" s="2" t="s">
        <v>120</v>
      </c>
      <c r="D166" s="10">
        <v>7</v>
      </c>
      <c r="E166" s="28">
        <v>0.0484</v>
      </c>
      <c r="F166" s="2" t="s">
        <v>121</v>
      </c>
      <c r="G166" s="5" t="s">
        <v>12</v>
      </c>
    </row>
    <row r="167" spans="1:7" x14ac:dyDescent="0.25">
      <c r="A167" s="6" t="s">
        <v>104</v>
      </c>
      <c r="B167" s="7">
        <v>46275</v>
      </c>
      <c r="C167" s="6" t="s">
        <v>120</v>
      </c>
      <c r="D167" s="14">
        <v>10</v>
      </c>
      <c r="E167" s="29">
        <v>0.0495</v>
      </c>
      <c r="F167" s="6" t="s">
        <v>121</v>
      </c>
      <c r="G167" s="9" t="s">
        <v>12</v>
      </c>
    </row>
    <row r="168" spans="1:7" x14ac:dyDescent="0.25">
      <c r="A168" s="2" t="s">
        <v>104</v>
      </c>
      <c r="B168" s="3">
        <v>46275</v>
      </c>
      <c r="C168" s="2" t="s">
        <v>120</v>
      </c>
      <c r="D168" s="10">
        <v>20</v>
      </c>
      <c r="E168" s="28">
        <v>0.053899999999999997</v>
      </c>
      <c r="F168" s="2" t="s">
        <v>121</v>
      </c>
      <c r="G168" s="5" t="s">
        <v>12</v>
      </c>
    </row>
    <row r="169" spans="1:7" x14ac:dyDescent="0.25">
      <c r="A169" s="6" t="s">
        <v>104</v>
      </c>
      <c r="B169" s="7">
        <v>46275</v>
      </c>
      <c r="C169" s="6" t="s">
        <v>120</v>
      </c>
      <c r="D169" s="14">
        <v>30</v>
      </c>
      <c r="E169" s="29">
        <v>0.0537</v>
      </c>
      <c r="F169" s="6" t="s">
        <v>121</v>
      </c>
      <c r="G169" s="9" t="s">
        <v>12</v>
      </c>
    </row>
    <row r="170" spans="1:7" x14ac:dyDescent="0.25">
      <c r="A170" s="2" t="s">
        <v>105</v>
      </c>
      <c r="B170" s="3">
        <v>46276</v>
      </c>
      <c r="C170" s="2" t="s">
        <v>120</v>
      </c>
      <c r="D170" s="10">
        <v>0.08333333333333333</v>
      </c>
      <c r="E170" s="28">
        <v>0.0393</v>
      </c>
      <c r="F170" s="2" t="s">
        <v>121</v>
      </c>
      <c r="G170" s="5" t="s">
        <v>12</v>
      </c>
    </row>
    <row r="171" spans="1:7" x14ac:dyDescent="0.25">
      <c r="A171" s="6" t="s">
        <v>105</v>
      </c>
      <c r="B171" s="7">
        <v>46276</v>
      </c>
      <c r="C171" s="6" t="s">
        <v>120</v>
      </c>
      <c r="D171" s="14">
        <v>0.125</v>
      </c>
      <c r="E171" s="29">
        <v>0.039900000000000005</v>
      </c>
      <c r="F171" s="6" t="s">
        <v>121</v>
      </c>
      <c r="G171" s="9" t="s">
        <v>12</v>
      </c>
    </row>
    <row r="172" spans="1:7" x14ac:dyDescent="0.25">
      <c r="A172" s="2" t="s">
        <v>105</v>
      </c>
      <c r="B172" s="3">
        <v>46276</v>
      </c>
      <c r="C172" s="2" t="s">
        <v>120</v>
      </c>
      <c r="D172" s="10">
        <v>0.16666666666666666</v>
      </c>
      <c r="E172" s="28">
        <v>0.0405</v>
      </c>
      <c r="F172" s="2" t="s">
        <v>121</v>
      </c>
      <c r="G172" s="5" t="s">
        <v>12</v>
      </c>
    </row>
    <row r="173" spans="1:7" x14ac:dyDescent="0.25">
      <c r="A173" s="6" t="s">
        <v>105</v>
      </c>
      <c r="B173" s="7">
        <v>46276</v>
      </c>
      <c r="C173" s="6" t="s">
        <v>120</v>
      </c>
      <c r="D173" s="14">
        <v>0.25</v>
      </c>
      <c r="E173" s="29">
        <v>0.0407</v>
      </c>
      <c r="F173" s="6" t="s">
        <v>121</v>
      </c>
      <c r="G173" s="9" t="s">
        <v>12</v>
      </c>
    </row>
    <row r="174" spans="1:7" x14ac:dyDescent="0.25">
      <c r="A174" s="2" t="s">
        <v>105</v>
      </c>
      <c r="B174" s="3">
        <v>46276</v>
      </c>
      <c r="C174" s="2" t="s">
        <v>120</v>
      </c>
      <c r="D174" s="10">
        <v>0.3333333333333333</v>
      </c>
      <c r="E174" s="28">
        <v>0.0415</v>
      </c>
      <c r="F174" s="2" t="s">
        <v>121</v>
      </c>
      <c r="G174" s="5" t="s">
        <v>12</v>
      </c>
    </row>
    <row r="175" spans="1:7" x14ac:dyDescent="0.25">
      <c r="A175" s="6" t="s">
        <v>105</v>
      </c>
      <c r="B175" s="7">
        <v>46276</v>
      </c>
      <c r="C175" s="6" t="s">
        <v>120</v>
      </c>
      <c r="D175" s="14">
        <v>0.5</v>
      </c>
      <c r="E175" s="29">
        <v>0.0412</v>
      </c>
      <c r="F175" s="6" t="s">
        <v>121</v>
      </c>
      <c r="G175" s="9" t="s">
        <v>12</v>
      </c>
    </row>
    <row r="176" spans="1:7" x14ac:dyDescent="0.25">
      <c r="A176" s="2" t="s">
        <v>105</v>
      </c>
      <c r="B176" s="3">
        <v>46276</v>
      </c>
      <c r="C176" s="2" t="s">
        <v>120</v>
      </c>
      <c r="D176" s="10">
        <v>1</v>
      </c>
      <c r="E176" s="28">
        <v>0.0435</v>
      </c>
      <c r="F176" s="2" t="s">
        <v>121</v>
      </c>
      <c r="G176" s="5" t="s">
        <v>12</v>
      </c>
    </row>
    <row r="177" spans="1:7" x14ac:dyDescent="0.25">
      <c r="A177" s="6" t="s">
        <v>105</v>
      </c>
      <c r="B177" s="7">
        <v>46276</v>
      </c>
      <c r="C177" s="6" t="s">
        <v>120</v>
      </c>
      <c r="D177" s="14">
        <v>2</v>
      </c>
      <c r="E177" s="29">
        <v>0.0463</v>
      </c>
      <c r="F177" s="6" t="s">
        <v>121</v>
      </c>
      <c r="G177" s="9" t="s">
        <v>12</v>
      </c>
    </row>
    <row r="178" spans="1:7" x14ac:dyDescent="0.25">
      <c r="A178" s="2" t="s">
        <v>105</v>
      </c>
      <c r="B178" s="3">
        <v>46276</v>
      </c>
      <c r="C178" s="2" t="s">
        <v>120</v>
      </c>
      <c r="D178" s="10">
        <v>3</v>
      </c>
      <c r="E178" s="28">
        <v>0.046900000000000004</v>
      </c>
      <c r="F178" s="2" t="s">
        <v>121</v>
      </c>
      <c r="G178" s="5" t="s">
        <v>12</v>
      </c>
    </row>
    <row r="179" spans="1:7" x14ac:dyDescent="0.25">
      <c r="A179" s="6" t="s">
        <v>105</v>
      </c>
      <c r="B179" s="7">
        <v>46276</v>
      </c>
      <c r="C179" s="6" t="s">
        <v>120</v>
      </c>
      <c r="D179" s="14">
        <v>5</v>
      </c>
      <c r="E179" s="29">
        <v>0.0478</v>
      </c>
      <c r="F179" s="6" t="s">
        <v>121</v>
      </c>
      <c r="G179" s="9" t="s">
        <v>12</v>
      </c>
    </row>
    <row r="180" spans="1:7" x14ac:dyDescent="0.25">
      <c r="A180" s="2" t="s">
        <v>105</v>
      </c>
      <c r="B180" s="3">
        <v>46276</v>
      </c>
      <c r="C180" s="2" t="s">
        <v>120</v>
      </c>
      <c r="D180" s="10">
        <v>7</v>
      </c>
      <c r="E180" s="28">
        <v>0.0487</v>
      </c>
      <c r="F180" s="2" t="s">
        <v>121</v>
      </c>
      <c r="G180" s="5" t="s">
        <v>12</v>
      </c>
    </row>
    <row r="181" spans="1:7" x14ac:dyDescent="0.25">
      <c r="A181" s="6" t="s">
        <v>105</v>
      </c>
      <c r="B181" s="7">
        <v>46276</v>
      </c>
      <c r="C181" s="6" t="s">
        <v>120</v>
      </c>
      <c r="D181" s="14">
        <v>10</v>
      </c>
      <c r="E181" s="29">
        <v>0.0496</v>
      </c>
      <c r="F181" s="6" t="s">
        <v>121</v>
      </c>
      <c r="G181" s="9" t="s">
        <v>12</v>
      </c>
    </row>
    <row r="182" spans="1:7" x14ac:dyDescent="0.25">
      <c r="A182" s="2" t="s">
        <v>105</v>
      </c>
      <c r="B182" s="3">
        <v>46276</v>
      </c>
      <c r="C182" s="2" t="s">
        <v>120</v>
      </c>
      <c r="D182" s="10">
        <v>20</v>
      </c>
      <c r="E182" s="28">
        <v>0.0538</v>
      </c>
      <c r="F182" s="2" t="s">
        <v>121</v>
      </c>
      <c r="G182" s="5" t="s">
        <v>12</v>
      </c>
    </row>
    <row r="183" spans="1:7" x14ac:dyDescent="0.25">
      <c r="A183" s="6" t="s">
        <v>105</v>
      </c>
      <c r="B183" s="7">
        <v>46276</v>
      </c>
      <c r="C183" s="6" t="s">
        <v>120</v>
      </c>
      <c r="D183" s="14">
        <v>30</v>
      </c>
      <c r="E183" s="29">
        <v>0.0535</v>
      </c>
      <c r="F183" s="6" t="s">
        <v>121</v>
      </c>
      <c r="G183" s="9" t="s">
        <v>12</v>
      </c>
    </row>
    <row r="184" spans="1:7" x14ac:dyDescent="0.25">
      <c r="A184" s="2" t="s">
        <v>106</v>
      </c>
      <c r="B184" s="3">
        <v>46279</v>
      </c>
      <c r="C184" s="2" t="s">
        <v>120</v>
      </c>
      <c r="D184" s="10">
        <v>0.08333333333333333</v>
      </c>
      <c r="E184" s="28">
        <v>0.0394</v>
      </c>
      <c r="F184" s="2" t="s">
        <v>121</v>
      </c>
      <c r="G184" s="5" t="s">
        <v>12</v>
      </c>
    </row>
    <row r="185" spans="1:7" x14ac:dyDescent="0.25">
      <c r="A185" s="6" t="s">
        <v>106</v>
      </c>
      <c r="B185" s="7">
        <v>46279</v>
      </c>
      <c r="C185" s="6" t="s">
        <v>120</v>
      </c>
      <c r="D185" s="14">
        <v>0.125</v>
      </c>
      <c r="E185" s="29">
        <v>0.04</v>
      </c>
      <c r="F185" s="6" t="s">
        <v>121</v>
      </c>
      <c r="G185" s="9" t="s">
        <v>12</v>
      </c>
    </row>
    <row r="186" spans="1:7" x14ac:dyDescent="0.25">
      <c r="A186" s="2" t="s">
        <v>106</v>
      </c>
      <c r="B186" s="3">
        <v>46279</v>
      </c>
      <c r="C186" s="2" t="s">
        <v>120</v>
      </c>
      <c r="D186" s="10">
        <v>0.16666666666666666</v>
      </c>
      <c r="E186" s="28">
        <v>0.0406</v>
      </c>
      <c r="F186" s="2" t="s">
        <v>121</v>
      </c>
      <c r="G186" s="5" t="s">
        <v>12</v>
      </c>
    </row>
    <row r="187" spans="1:7" x14ac:dyDescent="0.25">
      <c r="A187" s="6" t="s">
        <v>106</v>
      </c>
      <c r="B187" s="7">
        <v>46279</v>
      </c>
      <c r="C187" s="6" t="s">
        <v>120</v>
      </c>
      <c r="D187" s="14">
        <v>0.25</v>
      </c>
      <c r="E187" s="29">
        <v>0.041100000000000005</v>
      </c>
      <c r="F187" s="6" t="s">
        <v>121</v>
      </c>
      <c r="G187" s="9" t="s">
        <v>12</v>
      </c>
    </row>
    <row r="188" spans="1:7" x14ac:dyDescent="0.25">
      <c r="A188" s="2" t="s">
        <v>106</v>
      </c>
      <c r="B188" s="3">
        <v>46279</v>
      </c>
      <c r="C188" s="2" t="s">
        <v>120</v>
      </c>
      <c r="D188" s="10">
        <v>0.3333333333333333</v>
      </c>
      <c r="E188" s="28">
        <v>0.0418</v>
      </c>
      <c r="F188" s="2" t="s">
        <v>121</v>
      </c>
      <c r="G188" s="5" t="s">
        <v>12</v>
      </c>
    </row>
    <row r="189" spans="1:7" x14ac:dyDescent="0.25">
      <c r="A189" s="6" t="s">
        <v>106</v>
      </c>
      <c r="B189" s="7">
        <v>46279</v>
      </c>
      <c r="C189" s="6" t="s">
        <v>120</v>
      </c>
      <c r="D189" s="14">
        <v>0.5</v>
      </c>
      <c r="E189" s="29">
        <v>0.0418</v>
      </c>
      <c r="F189" s="6" t="s">
        <v>121</v>
      </c>
      <c r="G189" s="9" t="s">
        <v>12</v>
      </c>
    </row>
    <row r="190" spans="1:7" x14ac:dyDescent="0.25">
      <c r="A190" s="2" t="s">
        <v>106</v>
      </c>
      <c r="B190" s="3">
        <v>46279</v>
      </c>
      <c r="C190" s="2" t="s">
        <v>120</v>
      </c>
      <c r="D190" s="10">
        <v>1</v>
      </c>
      <c r="E190" s="28">
        <v>0.0437</v>
      </c>
      <c r="F190" s="2" t="s">
        <v>121</v>
      </c>
      <c r="G190" s="5" t="s">
        <v>12</v>
      </c>
    </row>
    <row r="191" spans="1:7" x14ac:dyDescent="0.25">
      <c r="A191" s="6" t="s">
        <v>106</v>
      </c>
      <c r="B191" s="7">
        <v>46279</v>
      </c>
      <c r="C191" s="6" t="s">
        <v>120</v>
      </c>
      <c r="D191" s="14">
        <v>2</v>
      </c>
      <c r="E191" s="29">
        <v>0.04650000000000001</v>
      </c>
      <c r="F191" s="6" t="s">
        <v>121</v>
      </c>
      <c r="G191" s="9" t="s">
        <v>12</v>
      </c>
    </row>
    <row r="192" spans="1:7" x14ac:dyDescent="0.25">
      <c r="A192" s="2" t="s">
        <v>106</v>
      </c>
      <c r="B192" s="3">
        <v>46279</v>
      </c>
      <c r="C192" s="2" t="s">
        <v>120</v>
      </c>
      <c r="D192" s="10">
        <v>3</v>
      </c>
      <c r="E192" s="28">
        <v>0.0473</v>
      </c>
      <c r="F192" s="2" t="s">
        <v>121</v>
      </c>
      <c r="G192" s="5" t="s">
        <v>12</v>
      </c>
    </row>
    <row r="193" spans="1:7" x14ac:dyDescent="0.25">
      <c r="A193" s="6" t="s">
        <v>106</v>
      </c>
      <c r="B193" s="7">
        <v>46279</v>
      </c>
      <c r="C193" s="6" t="s">
        <v>120</v>
      </c>
      <c r="D193" s="14">
        <v>5</v>
      </c>
      <c r="E193" s="29">
        <v>0.048</v>
      </c>
      <c r="F193" s="6" t="s">
        <v>121</v>
      </c>
      <c r="G193" s="9" t="s">
        <v>12</v>
      </c>
    </row>
    <row r="194" spans="1:7" x14ac:dyDescent="0.25">
      <c r="A194" s="2" t="s">
        <v>106</v>
      </c>
      <c r="B194" s="3">
        <v>46279</v>
      </c>
      <c r="C194" s="2" t="s">
        <v>120</v>
      </c>
      <c r="D194" s="10">
        <v>7</v>
      </c>
      <c r="E194" s="28">
        <v>0.048799999999999996</v>
      </c>
      <c r="F194" s="2" t="s">
        <v>121</v>
      </c>
      <c r="G194" s="5" t="s">
        <v>12</v>
      </c>
    </row>
    <row r="195" spans="1:7" x14ac:dyDescent="0.25">
      <c r="A195" s="6" t="s">
        <v>106</v>
      </c>
      <c r="B195" s="7">
        <v>46279</v>
      </c>
      <c r="C195" s="6" t="s">
        <v>120</v>
      </c>
      <c r="D195" s="14">
        <v>10</v>
      </c>
      <c r="E195" s="29">
        <v>0.049699999999999994</v>
      </c>
      <c r="F195" s="6" t="s">
        <v>121</v>
      </c>
      <c r="G195" s="9" t="s">
        <v>12</v>
      </c>
    </row>
    <row r="196" spans="1:7" x14ac:dyDescent="0.25">
      <c r="A196" s="2" t="s">
        <v>106</v>
      </c>
      <c r="B196" s="3">
        <v>46279</v>
      </c>
      <c r="C196" s="2" t="s">
        <v>120</v>
      </c>
      <c r="D196" s="10">
        <v>20</v>
      </c>
      <c r="E196" s="28">
        <v>0.0537</v>
      </c>
      <c r="F196" s="2" t="s">
        <v>121</v>
      </c>
      <c r="G196" s="5" t="s">
        <v>12</v>
      </c>
    </row>
    <row r="197" spans="1:7" x14ac:dyDescent="0.25">
      <c r="A197" s="6" t="s">
        <v>106</v>
      </c>
      <c r="B197" s="7">
        <v>46279</v>
      </c>
      <c r="C197" s="6" t="s">
        <v>120</v>
      </c>
      <c r="D197" s="14">
        <v>30</v>
      </c>
      <c r="E197" s="29">
        <v>0.053399999999999996</v>
      </c>
      <c r="F197" s="6" t="s">
        <v>121</v>
      </c>
      <c r="G197" s="9" t="s">
        <v>12</v>
      </c>
    </row>
    <row r="198" spans="1:7" x14ac:dyDescent="0.25">
      <c r="A198" s="2" t="s">
        <v>107</v>
      </c>
      <c r="B198" s="3">
        <v>46280</v>
      </c>
      <c r="C198" s="2" t="s">
        <v>120</v>
      </c>
      <c r="D198" s="10">
        <v>0.08333333333333333</v>
      </c>
      <c r="E198" s="28">
        <v>0.0393</v>
      </c>
      <c r="F198" s="2" t="s">
        <v>121</v>
      </c>
      <c r="G198" s="5" t="s">
        <v>12</v>
      </c>
    </row>
    <row r="199" spans="1:7" x14ac:dyDescent="0.25">
      <c r="A199" s="6" t="s">
        <v>107</v>
      </c>
      <c r="B199" s="7">
        <v>46280</v>
      </c>
      <c r="C199" s="6" t="s">
        <v>120</v>
      </c>
      <c r="D199" s="14">
        <v>0.125</v>
      </c>
      <c r="E199" s="29">
        <v>0.04</v>
      </c>
      <c r="F199" s="6" t="s">
        <v>121</v>
      </c>
      <c r="G199" s="9" t="s">
        <v>12</v>
      </c>
    </row>
    <row r="200" spans="1:7" x14ac:dyDescent="0.25">
      <c r="A200" s="2" t="s">
        <v>107</v>
      </c>
      <c r="B200" s="3">
        <v>46280</v>
      </c>
      <c r="C200" s="2" t="s">
        <v>120</v>
      </c>
      <c r="D200" s="10">
        <v>0.16666666666666666</v>
      </c>
      <c r="E200" s="28">
        <v>0.0406</v>
      </c>
      <c r="F200" s="2" t="s">
        <v>121</v>
      </c>
      <c r="G200" s="5" t="s">
        <v>12</v>
      </c>
    </row>
    <row r="201" spans="1:7" x14ac:dyDescent="0.25">
      <c r="A201" s="6" t="s">
        <v>107</v>
      </c>
      <c r="B201" s="7">
        <v>46280</v>
      </c>
      <c r="C201" s="6" t="s">
        <v>120</v>
      </c>
      <c r="D201" s="14">
        <v>0.25</v>
      </c>
      <c r="E201" s="29">
        <v>0.041100000000000005</v>
      </c>
      <c r="F201" s="6" t="s">
        <v>121</v>
      </c>
      <c r="G201" s="9" t="s">
        <v>12</v>
      </c>
    </row>
    <row r="202" spans="1:7" x14ac:dyDescent="0.25">
      <c r="A202" s="2" t="s">
        <v>107</v>
      </c>
      <c r="B202" s="3">
        <v>46280</v>
      </c>
      <c r="C202" s="2" t="s">
        <v>120</v>
      </c>
      <c r="D202" s="10">
        <v>0.3333333333333333</v>
      </c>
      <c r="E202" s="28">
        <v>0.04190000000000001</v>
      </c>
      <c r="F202" s="2" t="s">
        <v>121</v>
      </c>
      <c r="G202" s="5" t="s">
        <v>12</v>
      </c>
    </row>
    <row r="203" spans="1:7" x14ac:dyDescent="0.25">
      <c r="A203" s="6" t="s">
        <v>107</v>
      </c>
      <c r="B203" s="7">
        <v>46280</v>
      </c>
      <c r="C203" s="6" t="s">
        <v>120</v>
      </c>
      <c r="D203" s="14">
        <v>0.5</v>
      </c>
      <c r="E203" s="29">
        <v>0.0417</v>
      </c>
      <c r="F203" s="6" t="s">
        <v>121</v>
      </c>
      <c r="G203" s="9" t="s">
        <v>12</v>
      </c>
    </row>
    <row r="204" spans="1:7" x14ac:dyDescent="0.25">
      <c r="A204" s="2" t="s">
        <v>107</v>
      </c>
      <c r="B204" s="3">
        <v>46280</v>
      </c>
      <c r="C204" s="2" t="s">
        <v>120</v>
      </c>
      <c r="D204" s="10">
        <v>1</v>
      </c>
      <c r="E204" s="28">
        <v>0.043899999999999995</v>
      </c>
      <c r="F204" s="2" t="s">
        <v>121</v>
      </c>
      <c r="G204" s="5" t="s">
        <v>12</v>
      </c>
    </row>
    <row r="205" spans="1:7" x14ac:dyDescent="0.25">
      <c r="A205" s="6" t="s">
        <v>107</v>
      </c>
      <c r="B205" s="7">
        <v>46280</v>
      </c>
      <c r="C205" s="6" t="s">
        <v>120</v>
      </c>
      <c r="D205" s="14">
        <v>2</v>
      </c>
      <c r="E205" s="29">
        <v>0.0467</v>
      </c>
      <c r="F205" s="6" t="s">
        <v>121</v>
      </c>
      <c r="G205" s="9" t="s">
        <v>12</v>
      </c>
    </row>
    <row r="206" spans="1:7" x14ac:dyDescent="0.25">
      <c r="A206" s="2" t="s">
        <v>107</v>
      </c>
      <c r="B206" s="3">
        <v>46280</v>
      </c>
      <c r="C206" s="2" t="s">
        <v>120</v>
      </c>
      <c r="D206" s="10">
        <v>3</v>
      </c>
      <c r="E206" s="28">
        <v>0.047599999999999996</v>
      </c>
      <c r="F206" s="2" t="s">
        <v>121</v>
      </c>
      <c r="G206" s="5" t="s">
        <v>12</v>
      </c>
    </row>
    <row r="207" spans="1:7" x14ac:dyDescent="0.25">
      <c r="A207" s="6" t="s">
        <v>107</v>
      </c>
      <c r="B207" s="7">
        <v>46280</v>
      </c>
      <c r="C207" s="6" t="s">
        <v>120</v>
      </c>
      <c r="D207" s="14">
        <v>5</v>
      </c>
      <c r="E207" s="29">
        <v>0.0483</v>
      </c>
      <c r="F207" s="6" t="s">
        <v>121</v>
      </c>
      <c r="G207" s="9" t="s">
        <v>12</v>
      </c>
    </row>
    <row r="208" spans="1:7" x14ac:dyDescent="0.25">
      <c r="A208" s="2" t="s">
        <v>107</v>
      </c>
      <c r="B208" s="3">
        <v>46280</v>
      </c>
      <c r="C208" s="2" t="s">
        <v>120</v>
      </c>
      <c r="D208" s="10">
        <v>7</v>
      </c>
      <c r="E208" s="28">
        <v>0.049100000000000005</v>
      </c>
      <c r="F208" s="2" t="s">
        <v>121</v>
      </c>
      <c r="G208" s="5" t="s">
        <v>12</v>
      </c>
    </row>
    <row r="209" spans="1:7" x14ac:dyDescent="0.25">
      <c r="A209" s="6" t="s">
        <v>107</v>
      </c>
      <c r="B209" s="7">
        <v>46280</v>
      </c>
      <c r="C209" s="6" t="s">
        <v>120</v>
      </c>
      <c r="D209" s="14">
        <v>10</v>
      </c>
      <c r="E209" s="29">
        <v>0.05</v>
      </c>
      <c r="F209" s="6" t="s">
        <v>121</v>
      </c>
      <c r="G209" s="9" t="s">
        <v>12</v>
      </c>
    </row>
    <row r="210" spans="1:7" x14ac:dyDescent="0.25">
      <c r="A210" s="2" t="s">
        <v>107</v>
      </c>
      <c r="B210" s="3">
        <v>46280</v>
      </c>
      <c r="C210" s="2" t="s">
        <v>120</v>
      </c>
      <c r="D210" s="10">
        <v>20</v>
      </c>
      <c r="E210" s="28">
        <v>0.054000000000000006</v>
      </c>
      <c r="F210" s="2" t="s">
        <v>121</v>
      </c>
      <c r="G210" s="5" t="s">
        <v>12</v>
      </c>
    </row>
    <row r="211" spans="1:7" x14ac:dyDescent="0.25">
      <c r="A211" s="6" t="s">
        <v>107</v>
      </c>
      <c r="B211" s="7">
        <v>46280</v>
      </c>
      <c r="C211" s="6" t="s">
        <v>120</v>
      </c>
      <c r="D211" s="14">
        <v>30</v>
      </c>
      <c r="E211" s="29">
        <v>0.0536</v>
      </c>
      <c r="F211" s="6" t="s">
        <v>121</v>
      </c>
      <c r="G211" s="9" t="s">
        <v>12</v>
      </c>
    </row>
    <row r="212" spans="1:7" x14ac:dyDescent="0.25">
      <c r="A212" s="2" t="s">
        <v>108</v>
      </c>
      <c r="B212" s="3">
        <v>46281</v>
      </c>
      <c r="C212" s="2" t="s">
        <v>120</v>
      </c>
      <c r="D212" s="10">
        <v>0.08333333333333333</v>
      </c>
      <c r="E212" s="28">
        <v>0.039599999999999996</v>
      </c>
      <c r="F212" s="2" t="s">
        <v>121</v>
      </c>
      <c r="G212" s="5" t="s">
        <v>12</v>
      </c>
    </row>
    <row r="213" spans="1:7" x14ac:dyDescent="0.25">
      <c r="A213" s="6" t="s">
        <v>108</v>
      </c>
      <c r="B213" s="7">
        <v>46281</v>
      </c>
      <c r="C213" s="6" t="s">
        <v>120</v>
      </c>
      <c r="D213" s="14">
        <v>0.125</v>
      </c>
      <c r="E213" s="29">
        <v>0.04</v>
      </c>
      <c r="F213" s="6" t="s">
        <v>121</v>
      </c>
      <c r="G213" s="9" t="s">
        <v>12</v>
      </c>
    </row>
    <row r="214" spans="1:7" x14ac:dyDescent="0.25">
      <c r="A214" s="2" t="s">
        <v>108</v>
      </c>
      <c r="B214" s="3">
        <v>46281</v>
      </c>
      <c r="C214" s="2" t="s">
        <v>120</v>
      </c>
      <c r="D214" s="10">
        <v>0.16666666666666666</v>
      </c>
      <c r="E214" s="28">
        <v>0.0407</v>
      </c>
      <c r="F214" s="2" t="s">
        <v>121</v>
      </c>
      <c r="G214" s="5" t="s">
        <v>12</v>
      </c>
    </row>
    <row r="215" spans="1:7" x14ac:dyDescent="0.25">
      <c r="A215" s="6" t="s">
        <v>108</v>
      </c>
      <c r="B215" s="7">
        <v>46281</v>
      </c>
      <c r="C215" s="6" t="s">
        <v>120</v>
      </c>
      <c r="D215" s="14">
        <v>0.25</v>
      </c>
      <c r="E215" s="29">
        <v>0.0414</v>
      </c>
      <c r="F215" s="6" t="s">
        <v>121</v>
      </c>
      <c r="G215" s="9" t="s">
        <v>12</v>
      </c>
    </row>
    <row r="216" spans="1:7" x14ac:dyDescent="0.25">
      <c r="A216" s="2" t="s">
        <v>108</v>
      </c>
      <c r="B216" s="3">
        <v>46281</v>
      </c>
      <c r="C216" s="2" t="s">
        <v>120</v>
      </c>
      <c r="D216" s="10">
        <v>0.3333333333333333</v>
      </c>
      <c r="E216" s="28">
        <v>0.0424</v>
      </c>
      <c r="F216" s="2" t="s">
        <v>121</v>
      </c>
      <c r="G216" s="5" t="s">
        <v>12</v>
      </c>
    </row>
    <row r="217" spans="1:7" x14ac:dyDescent="0.25">
      <c r="A217" s="6" t="s">
        <v>108</v>
      </c>
      <c r="B217" s="7">
        <v>46281</v>
      </c>
      <c r="C217" s="6" t="s">
        <v>120</v>
      </c>
      <c r="D217" s="14">
        <v>0.5</v>
      </c>
      <c r="E217" s="29">
        <v>0.042199999999999994</v>
      </c>
      <c r="F217" s="6" t="s">
        <v>121</v>
      </c>
      <c r="G217" s="9" t="s">
        <v>12</v>
      </c>
    </row>
    <row r="218" spans="1:7" x14ac:dyDescent="0.25">
      <c r="A218" s="2" t="s">
        <v>108</v>
      </c>
      <c r="B218" s="3">
        <v>46281</v>
      </c>
      <c r="C218" s="2" t="s">
        <v>120</v>
      </c>
      <c r="D218" s="10">
        <v>1</v>
      </c>
      <c r="E218" s="28">
        <v>0.044500000000000005</v>
      </c>
      <c r="F218" s="2" t="s">
        <v>121</v>
      </c>
      <c r="G218" s="5" t="s">
        <v>12</v>
      </c>
    </row>
    <row r="219" spans="1:7" x14ac:dyDescent="0.25">
      <c r="A219" s="6" t="s">
        <v>108</v>
      </c>
      <c r="B219" s="7">
        <v>46281</v>
      </c>
      <c r="C219" s="6" t="s">
        <v>120</v>
      </c>
      <c r="D219" s="14">
        <v>2</v>
      </c>
      <c r="E219" s="29">
        <v>0.047400000000000005</v>
      </c>
      <c r="F219" s="6" t="s">
        <v>121</v>
      </c>
      <c r="G219" s="9" t="s">
        <v>12</v>
      </c>
    </row>
    <row r="220" spans="1:7" x14ac:dyDescent="0.25">
      <c r="A220" s="2" t="s">
        <v>108</v>
      </c>
      <c r="B220" s="3">
        <v>46281</v>
      </c>
      <c r="C220" s="2" t="s">
        <v>120</v>
      </c>
      <c r="D220" s="10">
        <v>3</v>
      </c>
      <c r="E220" s="28">
        <v>0.0482</v>
      </c>
      <c r="F220" s="2" t="s">
        <v>121</v>
      </c>
      <c r="G220" s="5" t="s">
        <v>12</v>
      </c>
    </row>
    <row r="221" spans="1:7" x14ac:dyDescent="0.25">
      <c r="A221" s="6" t="s">
        <v>108</v>
      </c>
      <c r="B221" s="7">
        <v>46281</v>
      </c>
      <c r="C221" s="6" t="s">
        <v>120</v>
      </c>
      <c r="D221" s="14">
        <v>5</v>
      </c>
      <c r="E221" s="29">
        <v>0.048600000000000004</v>
      </c>
      <c r="F221" s="6" t="s">
        <v>121</v>
      </c>
      <c r="G221" s="9" t="s">
        <v>12</v>
      </c>
    </row>
    <row r="222" spans="1:7" x14ac:dyDescent="0.25">
      <c r="A222" s="2" t="s">
        <v>108</v>
      </c>
      <c r="B222" s="3">
        <v>46281</v>
      </c>
      <c r="C222" s="2" t="s">
        <v>120</v>
      </c>
      <c r="D222" s="10">
        <v>7</v>
      </c>
      <c r="E222" s="28">
        <v>0.049400000000000006</v>
      </c>
      <c r="F222" s="2" t="s">
        <v>121</v>
      </c>
      <c r="G222" s="5" t="s">
        <v>12</v>
      </c>
    </row>
    <row r="223" spans="1:7" x14ac:dyDescent="0.25">
      <c r="A223" s="6" t="s">
        <v>108</v>
      </c>
      <c r="B223" s="7">
        <v>46281</v>
      </c>
      <c r="C223" s="6" t="s">
        <v>120</v>
      </c>
      <c r="D223" s="14">
        <v>10</v>
      </c>
      <c r="E223" s="29">
        <v>0.0501</v>
      </c>
      <c r="F223" s="6" t="s">
        <v>121</v>
      </c>
      <c r="G223" s="9" t="s">
        <v>12</v>
      </c>
    </row>
    <row r="224" spans="1:7" x14ac:dyDescent="0.25">
      <c r="A224" s="2" t="s">
        <v>108</v>
      </c>
      <c r="B224" s="3">
        <v>46281</v>
      </c>
      <c r="C224" s="2" t="s">
        <v>120</v>
      </c>
      <c r="D224" s="10">
        <v>20</v>
      </c>
      <c r="E224" s="28">
        <v>0.053899999999999997</v>
      </c>
      <c r="F224" s="2" t="s">
        <v>121</v>
      </c>
      <c r="G224" s="5" t="s">
        <v>12</v>
      </c>
    </row>
    <row r="225" spans="1:7" x14ac:dyDescent="0.25">
      <c r="A225" s="6" t="s">
        <v>108</v>
      </c>
      <c r="B225" s="7">
        <v>46281</v>
      </c>
      <c r="C225" s="6" t="s">
        <v>120</v>
      </c>
      <c r="D225" s="14">
        <v>30</v>
      </c>
      <c r="E225" s="29">
        <v>0.0535</v>
      </c>
      <c r="F225" s="6" t="s">
        <v>121</v>
      </c>
      <c r="G225" s="9" t="s">
        <v>12</v>
      </c>
    </row>
    <row r="226" spans="1:7" x14ac:dyDescent="0.25">
      <c r="A226" s="2" t="s">
        <v>109</v>
      </c>
      <c r="B226" s="3">
        <v>46282</v>
      </c>
      <c r="C226" s="2" t="s">
        <v>120</v>
      </c>
      <c r="D226" s="10">
        <v>0.08333333333333333</v>
      </c>
      <c r="E226" s="28">
        <v>0.0397</v>
      </c>
      <c r="F226" s="2" t="s">
        <v>121</v>
      </c>
      <c r="G226" s="5" t="s">
        <v>12</v>
      </c>
    </row>
    <row r="227" spans="1:7" x14ac:dyDescent="0.25">
      <c r="A227" s="6" t="s">
        <v>109</v>
      </c>
      <c r="B227" s="7">
        <v>46282</v>
      </c>
      <c r="C227" s="6" t="s">
        <v>120</v>
      </c>
      <c r="D227" s="14">
        <v>0.125</v>
      </c>
      <c r="E227" s="29">
        <v>0.0398</v>
      </c>
      <c r="F227" s="6" t="s">
        <v>121</v>
      </c>
      <c r="G227" s="9" t="s">
        <v>12</v>
      </c>
    </row>
    <row r="228" spans="1:7" x14ac:dyDescent="0.25">
      <c r="A228" s="2" t="s">
        <v>109</v>
      </c>
      <c r="B228" s="3">
        <v>46282</v>
      </c>
      <c r="C228" s="2" t="s">
        <v>120</v>
      </c>
      <c r="D228" s="10">
        <v>0.16666666666666666</v>
      </c>
      <c r="E228" s="28">
        <v>0.0409</v>
      </c>
      <c r="F228" s="2" t="s">
        <v>121</v>
      </c>
      <c r="G228" s="5" t="s">
        <v>12</v>
      </c>
    </row>
    <row r="229" spans="1:7" x14ac:dyDescent="0.25">
      <c r="A229" s="6" t="s">
        <v>109</v>
      </c>
      <c r="B229" s="7">
        <v>46282</v>
      </c>
      <c r="C229" s="6" t="s">
        <v>120</v>
      </c>
      <c r="D229" s="14">
        <v>0.25</v>
      </c>
      <c r="E229" s="29">
        <v>0.0412</v>
      </c>
      <c r="F229" s="6" t="s">
        <v>121</v>
      </c>
      <c r="G229" s="9" t="s">
        <v>12</v>
      </c>
    </row>
    <row r="230" spans="1:7" x14ac:dyDescent="0.25">
      <c r="A230" s="2" t="s">
        <v>109</v>
      </c>
      <c r="B230" s="3">
        <v>46282</v>
      </c>
      <c r="C230" s="2" t="s">
        <v>120</v>
      </c>
      <c r="D230" s="10">
        <v>0.3333333333333333</v>
      </c>
      <c r="E230" s="28">
        <v>0.042300000000000004</v>
      </c>
      <c r="F230" s="2" t="s">
        <v>121</v>
      </c>
      <c r="G230" s="5" t="s">
        <v>12</v>
      </c>
    </row>
    <row r="231" spans="1:7" x14ac:dyDescent="0.25">
      <c r="A231" s="6" t="s">
        <v>109</v>
      </c>
      <c r="B231" s="7">
        <v>46282</v>
      </c>
      <c r="C231" s="6" t="s">
        <v>120</v>
      </c>
      <c r="D231" s="14">
        <v>0.5</v>
      </c>
      <c r="E231" s="29">
        <v>0.042</v>
      </c>
      <c r="F231" s="6" t="s">
        <v>121</v>
      </c>
      <c r="G231" s="9" t="s">
        <v>12</v>
      </c>
    </row>
    <row r="232" spans="1:7" x14ac:dyDescent="0.25">
      <c r="A232" s="2" t="s">
        <v>109</v>
      </c>
      <c r="B232" s="3">
        <v>46282</v>
      </c>
      <c r="C232" s="2" t="s">
        <v>120</v>
      </c>
      <c r="D232" s="10">
        <v>1</v>
      </c>
      <c r="E232" s="28">
        <v>0.044000000000000004</v>
      </c>
      <c r="F232" s="2" t="s">
        <v>121</v>
      </c>
      <c r="G232" s="5" t="s">
        <v>12</v>
      </c>
    </row>
    <row r="233" spans="1:7" x14ac:dyDescent="0.25">
      <c r="A233" s="6" t="s">
        <v>109</v>
      </c>
      <c r="B233" s="7">
        <v>46282</v>
      </c>
      <c r="C233" s="6" t="s">
        <v>120</v>
      </c>
      <c r="D233" s="14">
        <v>2</v>
      </c>
      <c r="E233" s="29">
        <v>0.0467</v>
      </c>
      <c r="F233" s="6" t="s">
        <v>121</v>
      </c>
      <c r="G233" s="9" t="s">
        <v>12</v>
      </c>
    </row>
    <row r="234" spans="1:7" x14ac:dyDescent="0.25">
      <c r="A234" s="2" t="s">
        <v>109</v>
      </c>
      <c r="B234" s="3">
        <v>46282</v>
      </c>
      <c r="C234" s="2" t="s">
        <v>120</v>
      </c>
      <c r="D234" s="10">
        <v>3</v>
      </c>
      <c r="E234" s="28">
        <v>0.0475</v>
      </c>
      <c r="F234" s="2" t="s">
        <v>121</v>
      </c>
      <c r="G234" s="5" t="s">
        <v>12</v>
      </c>
    </row>
    <row r="235" spans="1:7" x14ac:dyDescent="0.25">
      <c r="A235" s="6" t="s">
        <v>109</v>
      </c>
      <c r="B235" s="7">
        <v>46282</v>
      </c>
      <c r="C235" s="6" t="s">
        <v>120</v>
      </c>
      <c r="D235" s="14">
        <v>5</v>
      </c>
      <c r="E235" s="29">
        <v>0.0478</v>
      </c>
      <c r="F235" s="6" t="s">
        <v>121</v>
      </c>
      <c r="G235" s="9" t="s">
        <v>12</v>
      </c>
    </row>
    <row r="236" spans="1:7" x14ac:dyDescent="0.25">
      <c r="A236" s="2" t="s">
        <v>109</v>
      </c>
      <c r="B236" s="3">
        <v>46282</v>
      </c>
      <c r="C236" s="2" t="s">
        <v>120</v>
      </c>
      <c r="D236" s="10">
        <v>7</v>
      </c>
      <c r="E236" s="28">
        <v>0.048600000000000004</v>
      </c>
      <c r="F236" s="2" t="s">
        <v>121</v>
      </c>
      <c r="G236" s="5" t="s">
        <v>12</v>
      </c>
    </row>
    <row r="237" spans="1:7" x14ac:dyDescent="0.25">
      <c r="A237" s="6" t="s">
        <v>109</v>
      </c>
      <c r="B237" s="7">
        <v>46282</v>
      </c>
      <c r="C237" s="6" t="s">
        <v>120</v>
      </c>
      <c r="D237" s="14">
        <v>10</v>
      </c>
      <c r="E237" s="29">
        <v>0.049400000000000006</v>
      </c>
      <c r="F237" s="6" t="s">
        <v>121</v>
      </c>
      <c r="G237" s="9" t="s">
        <v>12</v>
      </c>
    </row>
    <row r="238" spans="1:7" x14ac:dyDescent="0.25">
      <c r="A238" s="2" t="s">
        <v>109</v>
      </c>
      <c r="B238" s="3">
        <v>46282</v>
      </c>
      <c r="C238" s="2" t="s">
        <v>120</v>
      </c>
      <c r="D238" s="10">
        <v>20</v>
      </c>
      <c r="E238" s="28">
        <v>0.053200000000000004</v>
      </c>
      <c r="F238" s="2" t="s">
        <v>121</v>
      </c>
      <c r="G238" s="5" t="s">
        <v>12</v>
      </c>
    </row>
    <row r="239" spans="1:7" x14ac:dyDescent="0.25">
      <c r="A239" s="6" t="s">
        <v>109</v>
      </c>
      <c r="B239" s="7">
        <v>46282</v>
      </c>
      <c r="C239" s="6" t="s">
        <v>120</v>
      </c>
      <c r="D239" s="14">
        <v>30</v>
      </c>
      <c r="E239" s="29">
        <v>0.0529</v>
      </c>
      <c r="F239" s="6" t="s">
        <v>121</v>
      </c>
      <c r="G239" s="9" t="s">
        <v>12</v>
      </c>
    </row>
    <row r="240" spans="1:7" x14ac:dyDescent="0.25">
      <c r="A240" s="2" t="s">
        <v>110</v>
      </c>
      <c r="B240" s="3">
        <v>46283</v>
      </c>
      <c r="C240" s="2" t="s">
        <v>120</v>
      </c>
      <c r="D240" s="10">
        <v>0.08333333333333333</v>
      </c>
      <c r="E240" s="28">
        <v>0.0397</v>
      </c>
      <c r="F240" s="2" t="s">
        <v>121</v>
      </c>
      <c r="G240" s="5" t="s">
        <v>12</v>
      </c>
    </row>
    <row r="241" spans="1:7" x14ac:dyDescent="0.25">
      <c r="A241" s="6" t="s">
        <v>110</v>
      </c>
      <c r="B241" s="7">
        <v>46283</v>
      </c>
      <c r="C241" s="6" t="s">
        <v>120</v>
      </c>
      <c r="D241" s="14">
        <v>0.125</v>
      </c>
      <c r="E241" s="29">
        <v>0.0398</v>
      </c>
      <c r="F241" s="6" t="s">
        <v>121</v>
      </c>
      <c r="G241" s="9" t="s">
        <v>12</v>
      </c>
    </row>
    <row r="242" spans="1:7" x14ac:dyDescent="0.25">
      <c r="A242" s="2" t="s">
        <v>110</v>
      </c>
      <c r="B242" s="3">
        <v>46283</v>
      </c>
      <c r="C242" s="2" t="s">
        <v>120</v>
      </c>
      <c r="D242" s="10">
        <v>0.16666666666666666</v>
      </c>
      <c r="E242" s="28">
        <v>0.040999999999999995</v>
      </c>
      <c r="F242" s="2" t="s">
        <v>121</v>
      </c>
      <c r="G242" s="5" t="s">
        <v>12</v>
      </c>
    </row>
    <row r="243" spans="1:7" x14ac:dyDescent="0.25">
      <c r="A243" s="6" t="s">
        <v>110</v>
      </c>
      <c r="B243" s="7">
        <v>46283</v>
      </c>
      <c r="C243" s="6" t="s">
        <v>120</v>
      </c>
      <c r="D243" s="14">
        <v>0.25</v>
      </c>
      <c r="E243" s="29">
        <v>0.0414</v>
      </c>
      <c r="F243" s="6" t="s">
        <v>121</v>
      </c>
      <c r="G243" s="9" t="s">
        <v>12</v>
      </c>
    </row>
    <row r="244" spans="1:7" x14ac:dyDescent="0.25">
      <c r="A244" s="2" t="s">
        <v>110</v>
      </c>
      <c r="B244" s="3">
        <v>46283</v>
      </c>
      <c r="C244" s="2" t="s">
        <v>120</v>
      </c>
      <c r="D244" s="10">
        <v>0.3333333333333333</v>
      </c>
      <c r="E244" s="28">
        <v>0.0424</v>
      </c>
      <c r="F244" s="2" t="s">
        <v>121</v>
      </c>
      <c r="G244" s="5" t="s">
        <v>12</v>
      </c>
    </row>
    <row r="245" spans="1:7" x14ac:dyDescent="0.25">
      <c r="A245" s="6" t="s">
        <v>110</v>
      </c>
      <c r="B245" s="7">
        <v>46283</v>
      </c>
      <c r="C245" s="6" t="s">
        <v>120</v>
      </c>
      <c r="D245" s="14">
        <v>0.5</v>
      </c>
      <c r="E245" s="29">
        <v>0.0424</v>
      </c>
      <c r="F245" s="6" t="s">
        <v>121</v>
      </c>
      <c r="G245" s="9" t="s">
        <v>12</v>
      </c>
    </row>
    <row r="246" spans="1:7" x14ac:dyDescent="0.25">
      <c r="A246" s="2" t="s">
        <v>110</v>
      </c>
      <c r="B246" s="3">
        <v>46283</v>
      </c>
      <c r="C246" s="2" t="s">
        <v>120</v>
      </c>
      <c r="D246" s="10">
        <v>1</v>
      </c>
      <c r="E246" s="28">
        <v>0.0444</v>
      </c>
      <c r="F246" s="2" t="s">
        <v>121</v>
      </c>
      <c r="G246" s="5" t="s">
        <v>12</v>
      </c>
    </row>
    <row r="247" spans="1:7" x14ac:dyDescent="0.25">
      <c r="A247" s="6" t="s">
        <v>110</v>
      </c>
      <c r="B247" s="7">
        <v>46283</v>
      </c>
      <c r="C247" s="6" t="s">
        <v>120</v>
      </c>
      <c r="D247" s="14">
        <v>2</v>
      </c>
      <c r="E247" s="29">
        <v>0.047599999999999996</v>
      </c>
      <c r="F247" s="6" t="s">
        <v>121</v>
      </c>
      <c r="G247" s="9" t="s">
        <v>12</v>
      </c>
    </row>
    <row r="248" spans="1:7" x14ac:dyDescent="0.25">
      <c r="A248" s="2" t="s">
        <v>110</v>
      </c>
      <c r="B248" s="3">
        <v>46283</v>
      </c>
      <c r="C248" s="2" t="s">
        <v>120</v>
      </c>
      <c r="D248" s="10">
        <v>3</v>
      </c>
      <c r="E248" s="28">
        <v>0.0483</v>
      </c>
      <c r="F248" s="2" t="s">
        <v>121</v>
      </c>
      <c r="G248" s="5" t="s">
        <v>12</v>
      </c>
    </row>
    <row r="249" spans="1:7" x14ac:dyDescent="0.25">
      <c r="A249" s="6" t="s">
        <v>110</v>
      </c>
      <c r="B249" s="7">
        <v>46283</v>
      </c>
      <c r="C249" s="6" t="s">
        <v>120</v>
      </c>
      <c r="D249" s="14">
        <v>5</v>
      </c>
      <c r="E249" s="29">
        <v>0.048600000000000004</v>
      </c>
      <c r="F249" s="6" t="s">
        <v>121</v>
      </c>
      <c r="G249" s="9" t="s">
        <v>12</v>
      </c>
    </row>
    <row r="250" spans="1:7" x14ac:dyDescent="0.25">
      <c r="A250" s="2" t="s">
        <v>110</v>
      </c>
      <c r="B250" s="3">
        <v>46283</v>
      </c>
      <c r="C250" s="2" t="s">
        <v>120</v>
      </c>
      <c r="D250" s="10">
        <v>7</v>
      </c>
      <c r="E250" s="28">
        <v>0.0493</v>
      </c>
      <c r="F250" s="2" t="s">
        <v>121</v>
      </c>
      <c r="G250" s="5" t="s">
        <v>12</v>
      </c>
    </row>
    <row r="251" spans="1:7" x14ac:dyDescent="0.25">
      <c r="A251" s="6" t="s">
        <v>110</v>
      </c>
      <c r="B251" s="7">
        <v>46283</v>
      </c>
      <c r="C251" s="6" t="s">
        <v>120</v>
      </c>
      <c r="D251" s="14">
        <v>10</v>
      </c>
      <c r="E251" s="29">
        <v>0.0501</v>
      </c>
      <c r="F251" s="6" t="s">
        <v>121</v>
      </c>
      <c r="G251" s="9" t="s">
        <v>12</v>
      </c>
    </row>
    <row r="252" spans="1:7" x14ac:dyDescent="0.25">
      <c r="A252" s="2" t="s">
        <v>110</v>
      </c>
      <c r="B252" s="3">
        <v>46283</v>
      </c>
      <c r="C252" s="2" t="s">
        <v>120</v>
      </c>
      <c r="D252" s="10">
        <v>20</v>
      </c>
      <c r="E252" s="28">
        <v>0.0538</v>
      </c>
      <c r="F252" s="2" t="s">
        <v>121</v>
      </c>
      <c r="G252" s="5" t="s">
        <v>12</v>
      </c>
    </row>
    <row r="253" spans="1:7" x14ac:dyDescent="0.25">
      <c r="A253" s="6" t="s">
        <v>110</v>
      </c>
      <c r="B253" s="7">
        <v>46283</v>
      </c>
      <c r="C253" s="6" t="s">
        <v>120</v>
      </c>
      <c r="D253" s="14">
        <v>30</v>
      </c>
      <c r="E253" s="29">
        <v>0.053399999999999996</v>
      </c>
      <c r="F253" s="6" t="s">
        <v>121</v>
      </c>
      <c r="G253" s="9" t="s">
        <v>12</v>
      </c>
    </row>
  </sheetData>
  <autoFilter ref="A1:G1"/>
  <hyperlinks>
    <hyperlink ref="G2" r:id="rId1" tooltip="https://home.treasury.gov/resource-center/data-chart-center/interest-rates"/>
    <hyperlink ref="G3" r:id="rId2" tooltip="https://home.treasury.gov/resource-center/data-chart-center/interest-rates"/>
    <hyperlink ref="G4" r:id="rId3" tooltip="https://home.treasury.gov/resource-center/data-chart-center/interest-rates"/>
    <hyperlink ref="G5" r:id="rId4" tooltip="https://home.treasury.gov/resource-center/data-chart-center/interest-rates"/>
    <hyperlink ref="G6" r:id="rId5" tooltip="https://home.treasury.gov/resource-center/data-chart-center/interest-rates"/>
    <hyperlink ref="G7" r:id="rId6" tooltip="https://home.treasury.gov/resource-center/data-chart-center/interest-rates"/>
    <hyperlink ref="G8" r:id="rId7" tooltip="https://home.treasury.gov/resource-center/data-chart-center/interest-rates"/>
    <hyperlink ref="G9" r:id="rId8" tooltip="https://home.treasury.gov/resource-center/data-chart-center/interest-rates"/>
    <hyperlink ref="G10" r:id="rId9" tooltip="https://home.treasury.gov/resource-center/data-chart-center/interest-rates"/>
    <hyperlink ref="G11" r:id="rId10" tooltip="https://home.treasury.gov/resource-center/data-chart-center/interest-rates"/>
    <hyperlink ref="G12" r:id="rId11" tooltip="https://home.treasury.gov/resource-center/data-chart-center/interest-rates"/>
    <hyperlink ref="G13" r:id="rId12" tooltip="https://home.treasury.gov/resource-center/data-chart-center/interest-rates"/>
    <hyperlink ref="G14" r:id="rId13" tooltip="https://home.treasury.gov/resource-center/data-chart-center/interest-rates"/>
    <hyperlink ref="G15" r:id="rId14" tooltip="https://home.treasury.gov/resource-center/data-chart-center/interest-rates"/>
    <hyperlink ref="G16" r:id="rId15" tooltip="https://home.treasury.gov/resource-center/data-chart-center/interest-rates"/>
    <hyperlink ref="G17" r:id="rId16" tooltip="https://home.treasury.gov/resource-center/data-chart-center/interest-rates"/>
    <hyperlink ref="G18" r:id="rId17" tooltip="https://home.treasury.gov/resource-center/data-chart-center/interest-rates"/>
    <hyperlink ref="G19" r:id="rId18" tooltip="https://home.treasury.gov/resource-center/data-chart-center/interest-rates"/>
    <hyperlink ref="G20" r:id="rId19" tooltip="https://home.treasury.gov/resource-center/data-chart-center/interest-rates"/>
    <hyperlink ref="G21" r:id="rId20" tooltip="https://home.treasury.gov/resource-center/data-chart-center/interest-rates"/>
    <hyperlink ref="G22" r:id="rId21" tooltip="https://home.treasury.gov/resource-center/data-chart-center/interest-rates"/>
    <hyperlink ref="G23" r:id="rId22" tooltip="https://home.treasury.gov/resource-center/data-chart-center/interest-rates"/>
    <hyperlink ref="G24" r:id="rId23" tooltip="https://home.treasury.gov/resource-center/data-chart-center/interest-rates"/>
    <hyperlink ref="G25" r:id="rId24" tooltip="https://home.treasury.gov/resource-center/data-chart-center/interest-rates"/>
    <hyperlink ref="G26" r:id="rId25" tooltip="https://home.treasury.gov/resource-center/data-chart-center/interest-rates"/>
    <hyperlink ref="G27" r:id="rId26" tooltip="https://home.treasury.gov/resource-center/data-chart-center/interest-rates"/>
    <hyperlink ref="G28" r:id="rId27" tooltip="https://home.treasury.gov/resource-center/data-chart-center/interest-rates"/>
    <hyperlink ref="G29" r:id="rId28" tooltip="https://home.treasury.gov/resource-center/data-chart-center/interest-rates"/>
    <hyperlink ref="G30" r:id="rId29" tooltip="https://home.treasury.gov/resource-center/data-chart-center/interest-rates"/>
    <hyperlink ref="G31" r:id="rId30" tooltip="https://home.treasury.gov/resource-center/data-chart-center/interest-rates"/>
    <hyperlink ref="G32" r:id="rId31" tooltip="https://home.treasury.gov/resource-center/data-chart-center/interest-rates"/>
    <hyperlink ref="G33" r:id="rId32" tooltip="https://home.treasury.gov/resource-center/data-chart-center/interest-rates"/>
    <hyperlink ref="G34" r:id="rId33" tooltip="https://home.treasury.gov/resource-center/data-chart-center/interest-rates"/>
    <hyperlink ref="G35" r:id="rId34" tooltip="https://home.treasury.gov/resource-center/data-chart-center/interest-rates"/>
    <hyperlink ref="G36" r:id="rId35" tooltip="https://home.treasury.gov/resource-center/data-chart-center/interest-rates"/>
    <hyperlink ref="G37" r:id="rId36" tooltip="https://home.treasury.gov/resource-center/data-chart-center/interest-rates"/>
    <hyperlink ref="G38" r:id="rId37" tooltip="https://home.treasury.gov/resource-center/data-chart-center/interest-rates"/>
    <hyperlink ref="G39" r:id="rId38" tooltip="https://home.treasury.gov/resource-center/data-chart-center/interest-rates"/>
    <hyperlink ref="G40" r:id="rId39" tooltip="https://home.treasury.gov/resource-center/data-chart-center/interest-rates"/>
    <hyperlink ref="G41" r:id="rId40" tooltip="https://home.treasury.gov/resource-center/data-chart-center/interest-rates"/>
    <hyperlink ref="G42" r:id="rId41" tooltip="https://home.treasury.gov/resource-center/data-chart-center/interest-rates"/>
    <hyperlink ref="G43" r:id="rId42" tooltip="https://home.treasury.gov/resource-center/data-chart-center/interest-rates"/>
    <hyperlink ref="G44" r:id="rId43" tooltip="https://home.treasury.gov/resource-center/data-chart-center/interest-rates"/>
    <hyperlink ref="G45" r:id="rId44" tooltip="https://home.treasury.gov/resource-center/data-chart-center/interest-rates"/>
    <hyperlink ref="G46" r:id="rId45" tooltip="https://home.treasury.gov/resource-center/data-chart-center/interest-rates"/>
    <hyperlink ref="G47" r:id="rId46" tooltip="https://home.treasury.gov/resource-center/data-chart-center/interest-rates"/>
    <hyperlink ref="G48" r:id="rId47" tooltip="https://home.treasury.gov/resource-center/data-chart-center/interest-rates"/>
    <hyperlink ref="G49" r:id="rId48" tooltip="https://home.treasury.gov/resource-center/data-chart-center/interest-rates"/>
    <hyperlink ref="G50" r:id="rId49" tooltip="https://home.treasury.gov/resource-center/data-chart-center/interest-rates"/>
    <hyperlink ref="G51" r:id="rId50" tooltip="https://home.treasury.gov/resource-center/data-chart-center/interest-rates"/>
    <hyperlink ref="G52" r:id="rId51" tooltip="https://home.treasury.gov/resource-center/data-chart-center/interest-rates"/>
    <hyperlink ref="G53" r:id="rId52" tooltip="https://home.treasury.gov/resource-center/data-chart-center/interest-rates"/>
    <hyperlink ref="G54" r:id="rId53" tooltip="https://home.treasury.gov/resource-center/data-chart-center/interest-rates"/>
    <hyperlink ref="G55" r:id="rId54" tooltip="https://home.treasury.gov/resource-center/data-chart-center/interest-rates"/>
    <hyperlink ref="G56" r:id="rId55" tooltip="https://home.treasury.gov/resource-center/data-chart-center/interest-rates"/>
    <hyperlink ref="G57" r:id="rId56" tooltip="https://home.treasury.gov/resource-center/data-chart-center/interest-rates"/>
    <hyperlink ref="G58" r:id="rId57" tooltip="https://home.treasury.gov/resource-center/data-chart-center/interest-rates"/>
    <hyperlink ref="G59" r:id="rId58" tooltip="https://home.treasury.gov/resource-center/data-chart-center/interest-rates"/>
    <hyperlink ref="G60" r:id="rId59" tooltip="https://home.treasury.gov/resource-center/data-chart-center/interest-rates"/>
    <hyperlink ref="G61" r:id="rId60" tooltip="https://home.treasury.gov/resource-center/data-chart-center/interest-rates"/>
    <hyperlink ref="G62" r:id="rId61" tooltip="https://home.treasury.gov/resource-center/data-chart-center/interest-rates"/>
    <hyperlink ref="G63" r:id="rId62" tooltip="https://home.treasury.gov/resource-center/data-chart-center/interest-rates"/>
    <hyperlink ref="G64" r:id="rId63" tooltip="https://home.treasury.gov/resource-center/data-chart-center/interest-rates"/>
    <hyperlink ref="G65" r:id="rId64" tooltip="https://home.treasury.gov/resource-center/data-chart-center/interest-rates"/>
    <hyperlink ref="G66" r:id="rId65" tooltip="https://home.treasury.gov/resource-center/data-chart-center/interest-rates"/>
    <hyperlink ref="G67" r:id="rId66" tooltip="https://home.treasury.gov/resource-center/data-chart-center/interest-rates"/>
    <hyperlink ref="G68" r:id="rId67" tooltip="https://home.treasury.gov/resource-center/data-chart-center/interest-rates"/>
    <hyperlink ref="G69" r:id="rId68" tooltip="https://home.treasury.gov/resource-center/data-chart-center/interest-rates"/>
    <hyperlink ref="G70" r:id="rId69" tooltip="https://home.treasury.gov/resource-center/data-chart-center/interest-rates"/>
    <hyperlink ref="G71" r:id="rId70" tooltip="https://home.treasury.gov/resource-center/data-chart-center/interest-rates"/>
    <hyperlink ref="G72" r:id="rId71" tooltip="https://home.treasury.gov/resource-center/data-chart-center/interest-rates"/>
    <hyperlink ref="G73" r:id="rId72" tooltip="https://home.treasury.gov/resource-center/data-chart-center/interest-rates"/>
    <hyperlink ref="G74" r:id="rId73" tooltip="https://home.treasury.gov/resource-center/data-chart-center/interest-rates"/>
    <hyperlink ref="G75" r:id="rId74" tooltip="https://home.treasury.gov/resource-center/data-chart-center/interest-rates"/>
    <hyperlink ref="G76" r:id="rId75" tooltip="https://home.treasury.gov/resource-center/data-chart-center/interest-rates"/>
    <hyperlink ref="G77" r:id="rId76" tooltip="https://home.treasury.gov/resource-center/data-chart-center/interest-rates"/>
    <hyperlink ref="G78" r:id="rId77" tooltip="https://home.treasury.gov/resource-center/data-chart-center/interest-rates"/>
    <hyperlink ref="G79" r:id="rId78" tooltip="https://home.treasury.gov/resource-center/data-chart-center/interest-rates"/>
    <hyperlink ref="G80" r:id="rId79" tooltip="https://home.treasury.gov/resource-center/data-chart-center/interest-rates"/>
    <hyperlink ref="G81" r:id="rId80" tooltip="https://home.treasury.gov/resource-center/data-chart-center/interest-rates"/>
    <hyperlink ref="G82" r:id="rId81" tooltip="https://home.treasury.gov/resource-center/data-chart-center/interest-rates"/>
    <hyperlink ref="G83" r:id="rId82" tooltip="https://home.treasury.gov/resource-center/data-chart-center/interest-rates"/>
    <hyperlink ref="G84" r:id="rId83" tooltip="https://home.treasury.gov/resource-center/data-chart-center/interest-rates"/>
    <hyperlink ref="G85" r:id="rId84" tooltip="https://home.treasury.gov/resource-center/data-chart-center/interest-rates"/>
    <hyperlink ref="G86" r:id="rId85" tooltip="https://home.treasury.gov/resource-center/data-chart-center/interest-rates"/>
    <hyperlink ref="G87" r:id="rId86" tooltip="https://home.treasury.gov/resource-center/data-chart-center/interest-rates"/>
    <hyperlink ref="G88" r:id="rId87" tooltip="https://home.treasury.gov/resource-center/data-chart-center/interest-rates"/>
    <hyperlink ref="G89" r:id="rId88" tooltip="https://home.treasury.gov/resource-center/data-chart-center/interest-rates"/>
    <hyperlink ref="G90" r:id="rId89" tooltip="https://home.treasury.gov/resource-center/data-chart-center/interest-rates"/>
    <hyperlink ref="G91" r:id="rId90" tooltip="https://home.treasury.gov/resource-center/data-chart-center/interest-rates"/>
    <hyperlink ref="G92" r:id="rId91" tooltip="https://home.treasury.gov/resource-center/data-chart-center/interest-rates"/>
    <hyperlink ref="G93" r:id="rId92" tooltip="https://home.treasury.gov/resource-center/data-chart-center/interest-rates"/>
    <hyperlink ref="G94" r:id="rId93" tooltip="https://home.treasury.gov/resource-center/data-chart-center/interest-rates"/>
    <hyperlink ref="G95" r:id="rId94" tooltip="https://home.treasury.gov/resource-center/data-chart-center/interest-rates"/>
    <hyperlink ref="G96" r:id="rId95" tooltip="https://home.treasury.gov/resource-center/data-chart-center/interest-rates"/>
    <hyperlink ref="G97" r:id="rId96" tooltip="https://home.treasury.gov/resource-center/data-chart-center/interest-rates"/>
    <hyperlink ref="G98" r:id="rId97" tooltip="https://home.treasury.gov/resource-center/data-chart-center/interest-rates"/>
    <hyperlink ref="G99" r:id="rId98" tooltip="https://home.treasury.gov/resource-center/data-chart-center/interest-rates"/>
    <hyperlink ref="G100" r:id="rId99" tooltip="https://home.treasury.gov/resource-center/data-chart-center/interest-rates"/>
    <hyperlink ref="G101" r:id="rId100" tooltip="https://home.treasury.gov/resource-center/data-chart-center/interest-rates"/>
    <hyperlink ref="G102" r:id="rId101" tooltip="https://home.treasury.gov/resource-center/data-chart-center/interest-rates"/>
    <hyperlink ref="G103" r:id="rId102" tooltip="https://home.treasury.gov/resource-center/data-chart-center/interest-rates"/>
    <hyperlink ref="G104" r:id="rId103" tooltip="https://home.treasury.gov/resource-center/data-chart-center/interest-rates"/>
    <hyperlink ref="G105" r:id="rId104" tooltip="https://home.treasury.gov/resource-center/data-chart-center/interest-rates"/>
    <hyperlink ref="G106" r:id="rId105" tooltip="https://home.treasury.gov/resource-center/data-chart-center/interest-rates"/>
    <hyperlink ref="G107" r:id="rId106" tooltip="https://home.treasury.gov/resource-center/data-chart-center/interest-rates"/>
    <hyperlink ref="G108" r:id="rId107" tooltip="https://home.treasury.gov/resource-center/data-chart-center/interest-rates"/>
    <hyperlink ref="G109" r:id="rId108" tooltip="https://home.treasury.gov/resource-center/data-chart-center/interest-rates"/>
    <hyperlink ref="G110" r:id="rId109" tooltip="https://home.treasury.gov/resource-center/data-chart-center/interest-rates"/>
    <hyperlink ref="G111" r:id="rId110" tooltip="https://home.treasury.gov/resource-center/data-chart-center/interest-rates"/>
    <hyperlink ref="G112" r:id="rId111" tooltip="https://home.treasury.gov/resource-center/data-chart-center/interest-rates"/>
    <hyperlink ref="G113" r:id="rId112" tooltip="https://home.treasury.gov/resource-center/data-chart-center/interest-rates"/>
    <hyperlink ref="G114" r:id="rId113" tooltip="https://home.treasury.gov/resource-center/data-chart-center/interest-rates"/>
    <hyperlink ref="G115" r:id="rId114" tooltip="https://home.treasury.gov/resource-center/data-chart-center/interest-rates"/>
    <hyperlink ref="G116" r:id="rId115" tooltip="https://home.treasury.gov/resource-center/data-chart-center/interest-rates"/>
    <hyperlink ref="G117" r:id="rId116" tooltip="https://home.treasury.gov/resource-center/data-chart-center/interest-rates"/>
    <hyperlink ref="G118" r:id="rId117" tooltip="https://home.treasury.gov/resource-center/data-chart-center/interest-rates"/>
    <hyperlink ref="G119" r:id="rId118" tooltip="https://home.treasury.gov/resource-center/data-chart-center/interest-rates"/>
    <hyperlink ref="G120" r:id="rId119" tooltip="https://home.treasury.gov/resource-center/data-chart-center/interest-rates"/>
    <hyperlink ref="G121" r:id="rId120" tooltip="https://home.treasury.gov/resource-center/data-chart-center/interest-rates"/>
    <hyperlink ref="G122" r:id="rId121" tooltip="https://home.treasury.gov/resource-center/data-chart-center/interest-rates"/>
    <hyperlink ref="G123" r:id="rId122" tooltip="https://home.treasury.gov/resource-center/data-chart-center/interest-rates"/>
    <hyperlink ref="G124" r:id="rId123" tooltip="https://home.treasury.gov/resource-center/data-chart-center/interest-rates"/>
    <hyperlink ref="G125" r:id="rId124" tooltip="https://home.treasury.gov/resource-center/data-chart-center/interest-rates"/>
    <hyperlink ref="G126" r:id="rId125" tooltip="https://home.treasury.gov/resource-center/data-chart-center/interest-rates"/>
    <hyperlink ref="G127" r:id="rId126" tooltip="https://home.treasury.gov/resource-center/data-chart-center/interest-rates"/>
    <hyperlink ref="G128" r:id="rId127" tooltip="https://home.treasury.gov/resource-center/data-chart-center/interest-rates"/>
    <hyperlink ref="G129" r:id="rId128" tooltip="https://home.treasury.gov/resource-center/data-chart-center/interest-rates"/>
    <hyperlink ref="G130" r:id="rId129" tooltip="https://home.treasury.gov/resource-center/data-chart-center/interest-rates"/>
    <hyperlink ref="G131" r:id="rId130" tooltip="https://home.treasury.gov/resource-center/data-chart-center/interest-rates"/>
    <hyperlink ref="G132" r:id="rId131" tooltip="https://home.treasury.gov/resource-center/data-chart-center/interest-rates"/>
    <hyperlink ref="G133" r:id="rId132" tooltip="https://home.treasury.gov/resource-center/data-chart-center/interest-rates"/>
    <hyperlink ref="G134" r:id="rId133" tooltip="https://home.treasury.gov/resource-center/data-chart-center/interest-rates"/>
    <hyperlink ref="G135" r:id="rId134" tooltip="https://home.treasury.gov/resource-center/data-chart-center/interest-rates"/>
    <hyperlink ref="G136" r:id="rId135" tooltip="https://home.treasury.gov/resource-center/data-chart-center/interest-rates"/>
    <hyperlink ref="G137" r:id="rId136" tooltip="https://home.treasury.gov/resource-center/data-chart-center/interest-rates"/>
    <hyperlink ref="G138" r:id="rId137" tooltip="https://home.treasury.gov/resource-center/data-chart-center/interest-rates"/>
    <hyperlink ref="G139" r:id="rId138" tooltip="https://home.treasury.gov/resource-center/data-chart-center/interest-rates"/>
    <hyperlink ref="G140" r:id="rId139" tooltip="https://home.treasury.gov/resource-center/data-chart-center/interest-rates"/>
    <hyperlink ref="G141" r:id="rId140" tooltip="https://home.treasury.gov/resource-center/data-chart-center/interest-rates"/>
    <hyperlink ref="G142" r:id="rId141" tooltip="https://home.treasury.gov/resource-center/data-chart-center/interest-rates"/>
    <hyperlink ref="G143" r:id="rId142" tooltip="https://home.treasury.gov/resource-center/data-chart-center/interest-rates"/>
    <hyperlink ref="G144" r:id="rId143" tooltip="https://home.treasury.gov/resource-center/data-chart-center/interest-rates"/>
    <hyperlink ref="G145" r:id="rId144" tooltip="https://home.treasury.gov/resource-center/data-chart-center/interest-rates"/>
    <hyperlink ref="G146" r:id="rId145" tooltip="https://home.treasury.gov/resource-center/data-chart-center/interest-rates"/>
    <hyperlink ref="G147" r:id="rId146" tooltip="https://home.treasury.gov/resource-center/data-chart-center/interest-rates"/>
    <hyperlink ref="G148" r:id="rId147" tooltip="https://home.treasury.gov/resource-center/data-chart-center/interest-rates"/>
    <hyperlink ref="G149" r:id="rId148" tooltip="https://home.treasury.gov/resource-center/data-chart-center/interest-rates"/>
    <hyperlink ref="G150" r:id="rId149" tooltip="https://home.treasury.gov/resource-center/data-chart-center/interest-rates"/>
    <hyperlink ref="G151" r:id="rId150" tooltip="https://home.treasury.gov/resource-center/data-chart-center/interest-rates"/>
    <hyperlink ref="G152" r:id="rId151" tooltip="https://home.treasury.gov/resource-center/data-chart-center/interest-rates"/>
    <hyperlink ref="G153" r:id="rId152" tooltip="https://home.treasury.gov/resource-center/data-chart-center/interest-rates"/>
    <hyperlink ref="G154" r:id="rId153" tooltip="https://home.treasury.gov/resource-center/data-chart-center/interest-rates"/>
    <hyperlink ref="G155" r:id="rId154" tooltip="https://home.treasury.gov/resource-center/data-chart-center/interest-rates"/>
    <hyperlink ref="G156" r:id="rId155" tooltip="https://home.treasury.gov/resource-center/data-chart-center/interest-rates"/>
    <hyperlink ref="G157" r:id="rId156" tooltip="https://home.treasury.gov/resource-center/data-chart-center/interest-rates"/>
    <hyperlink ref="G158" r:id="rId157" tooltip="https://home.treasury.gov/resource-center/data-chart-center/interest-rates"/>
    <hyperlink ref="G159" r:id="rId158" tooltip="https://home.treasury.gov/resource-center/data-chart-center/interest-rates"/>
    <hyperlink ref="G160" r:id="rId159" tooltip="https://home.treasury.gov/resource-center/data-chart-center/interest-rates"/>
    <hyperlink ref="G161" r:id="rId160" tooltip="https://home.treasury.gov/resource-center/data-chart-center/interest-rates"/>
    <hyperlink ref="G162" r:id="rId161" tooltip="https://home.treasury.gov/resource-center/data-chart-center/interest-rates"/>
    <hyperlink ref="G163" r:id="rId162" tooltip="https://home.treasury.gov/resource-center/data-chart-center/interest-rates"/>
    <hyperlink ref="G164" r:id="rId163" tooltip="https://home.treasury.gov/resource-center/data-chart-center/interest-rates"/>
    <hyperlink ref="G165" r:id="rId164" tooltip="https://home.treasury.gov/resource-center/data-chart-center/interest-rates"/>
    <hyperlink ref="G166" r:id="rId165" tooltip="https://home.treasury.gov/resource-center/data-chart-center/interest-rates"/>
    <hyperlink ref="G167" r:id="rId166" tooltip="https://home.treasury.gov/resource-center/data-chart-center/interest-rates"/>
    <hyperlink ref="G168" r:id="rId167" tooltip="https://home.treasury.gov/resource-center/data-chart-center/interest-rates"/>
    <hyperlink ref="G169" r:id="rId168" tooltip="https://home.treasury.gov/resource-center/data-chart-center/interest-rates"/>
    <hyperlink ref="G170" r:id="rId169" tooltip="https://home.treasury.gov/resource-center/data-chart-center/interest-rates"/>
    <hyperlink ref="G171" r:id="rId170" tooltip="https://home.treasury.gov/resource-center/data-chart-center/interest-rates"/>
    <hyperlink ref="G172" r:id="rId171" tooltip="https://home.treasury.gov/resource-center/data-chart-center/interest-rates"/>
    <hyperlink ref="G173" r:id="rId172" tooltip="https://home.treasury.gov/resource-center/data-chart-center/interest-rates"/>
    <hyperlink ref="G174" r:id="rId173" tooltip="https://home.treasury.gov/resource-center/data-chart-center/interest-rates"/>
    <hyperlink ref="G175" r:id="rId174" tooltip="https://home.treasury.gov/resource-center/data-chart-center/interest-rates"/>
    <hyperlink ref="G176" r:id="rId175" tooltip="https://home.treasury.gov/resource-center/data-chart-center/interest-rates"/>
    <hyperlink ref="G177" r:id="rId176" tooltip="https://home.treasury.gov/resource-center/data-chart-center/interest-rates"/>
    <hyperlink ref="G178" r:id="rId177" tooltip="https://home.treasury.gov/resource-center/data-chart-center/interest-rates"/>
    <hyperlink ref="G179" r:id="rId178" tooltip="https://home.treasury.gov/resource-center/data-chart-center/interest-rates"/>
    <hyperlink ref="G180" r:id="rId179" tooltip="https://home.treasury.gov/resource-center/data-chart-center/interest-rates"/>
    <hyperlink ref="G181" r:id="rId180" tooltip="https://home.treasury.gov/resource-center/data-chart-center/interest-rates"/>
    <hyperlink ref="G182" r:id="rId181" tooltip="https://home.treasury.gov/resource-center/data-chart-center/interest-rates"/>
    <hyperlink ref="G183" r:id="rId182" tooltip="https://home.treasury.gov/resource-center/data-chart-center/interest-rates"/>
    <hyperlink ref="G184" r:id="rId183" tooltip="https://home.treasury.gov/resource-center/data-chart-center/interest-rates"/>
    <hyperlink ref="G185" r:id="rId184" tooltip="https://home.treasury.gov/resource-center/data-chart-center/interest-rates"/>
    <hyperlink ref="G186" r:id="rId185" tooltip="https://home.treasury.gov/resource-center/data-chart-center/interest-rates"/>
    <hyperlink ref="G187" r:id="rId186" tooltip="https://home.treasury.gov/resource-center/data-chart-center/interest-rates"/>
    <hyperlink ref="G188" r:id="rId187" tooltip="https://home.treasury.gov/resource-center/data-chart-center/interest-rates"/>
    <hyperlink ref="G189" r:id="rId188" tooltip="https://home.treasury.gov/resource-center/data-chart-center/interest-rates"/>
    <hyperlink ref="G190" r:id="rId189" tooltip="https://home.treasury.gov/resource-center/data-chart-center/interest-rates"/>
    <hyperlink ref="G191" r:id="rId190" tooltip="https://home.treasury.gov/resource-center/data-chart-center/interest-rates"/>
    <hyperlink ref="G192" r:id="rId191" tooltip="https://home.treasury.gov/resource-center/data-chart-center/interest-rates"/>
    <hyperlink ref="G193" r:id="rId192" tooltip="https://home.treasury.gov/resource-center/data-chart-center/interest-rates"/>
    <hyperlink ref="G194" r:id="rId193" tooltip="https://home.treasury.gov/resource-center/data-chart-center/interest-rates"/>
    <hyperlink ref="G195" r:id="rId194" tooltip="https://home.treasury.gov/resource-center/data-chart-center/interest-rates"/>
    <hyperlink ref="G196" r:id="rId195" tooltip="https://home.treasury.gov/resource-center/data-chart-center/interest-rates"/>
    <hyperlink ref="G197" r:id="rId196" tooltip="https://home.treasury.gov/resource-center/data-chart-center/interest-rates"/>
    <hyperlink ref="G198" r:id="rId197" tooltip="https://home.treasury.gov/resource-center/data-chart-center/interest-rates"/>
    <hyperlink ref="G199" r:id="rId198" tooltip="https://home.treasury.gov/resource-center/data-chart-center/interest-rates"/>
    <hyperlink ref="G200" r:id="rId199" tooltip="https://home.treasury.gov/resource-center/data-chart-center/interest-rates"/>
    <hyperlink ref="G201" r:id="rId200" tooltip="https://home.treasury.gov/resource-center/data-chart-center/interest-rates"/>
    <hyperlink ref="G202" r:id="rId201" tooltip="https://home.treasury.gov/resource-center/data-chart-center/interest-rates"/>
    <hyperlink ref="G203" r:id="rId202" tooltip="https://home.treasury.gov/resource-center/data-chart-center/interest-rates"/>
    <hyperlink ref="G204" r:id="rId203" tooltip="https://home.treasury.gov/resource-center/data-chart-center/interest-rates"/>
    <hyperlink ref="G205" r:id="rId204" tooltip="https://home.treasury.gov/resource-center/data-chart-center/interest-rates"/>
    <hyperlink ref="G206" r:id="rId205" tooltip="https://home.treasury.gov/resource-center/data-chart-center/interest-rates"/>
    <hyperlink ref="G207" r:id="rId206" tooltip="https://home.treasury.gov/resource-center/data-chart-center/interest-rates"/>
    <hyperlink ref="G208" r:id="rId207" tooltip="https://home.treasury.gov/resource-center/data-chart-center/interest-rates"/>
    <hyperlink ref="G209" r:id="rId208" tooltip="https://home.treasury.gov/resource-center/data-chart-center/interest-rates"/>
    <hyperlink ref="G210" r:id="rId209" tooltip="https://home.treasury.gov/resource-center/data-chart-center/interest-rates"/>
    <hyperlink ref="G211" r:id="rId210" tooltip="https://home.treasury.gov/resource-center/data-chart-center/interest-rates"/>
    <hyperlink ref="G212" r:id="rId211" tooltip="https://home.treasury.gov/resource-center/data-chart-center/interest-rates"/>
    <hyperlink ref="G213" r:id="rId212" tooltip="https://home.treasury.gov/resource-center/data-chart-center/interest-rates"/>
    <hyperlink ref="G214" r:id="rId213" tooltip="https://home.treasury.gov/resource-center/data-chart-center/interest-rates"/>
    <hyperlink ref="G215" r:id="rId214" tooltip="https://home.treasury.gov/resource-center/data-chart-center/interest-rates"/>
    <hyperlink ref="G216" r:id="rId215" tooltip="https://home.treasury.gov/resource-center/data-chart-center/interest-rates"/>
    <hyperlink ref="G217" r:id="rId216" tooltip="https://home.treasury.gov/resource-center/data-chart-center/interest-rates"/>
    <hyperlink ref="G218" r:id="rId217" tooltip="https://home.treasury.gov/resource-center/data-chart-center/interest-rates"/>
    <hyperlink ref="G219" r:id="rId218" tooltip="https://home.treasury.gov/resource-center/data-chart-center/interest-rates"/>
    <hyperlink ref="G220" r:id="rId219" tooltip="https://home.treasury.gov/resource-center/data-chart-center/interest-rates"/>
    <hyperlink ref="G221" r:id="rId220" tooltip="https://home.treasury.gov/resource-center/data-chart-center/interest-rates"/>
    <hyperlink ref="G222" r:id="rId221" tooltip="https://home.treasury.gov/resource-center/data-chart-center/interest-rates"/>
    <hyperlink ref="G223" r:id="rId222" tooltip="https://home.treasury.gov/resource-center/data-chart-center/interest-rates"/>
    <hyperlink ref="G224" r:id="rId223" tooltip="https://home.treasury.gov/resource-center/data-chart-center/interest-rates"/>
    <hyperlink ref="G225" r:id="rId224" tooltip="https://home.treasury.gov/resource-center/data-chart-center/interest-rates"/>
    <hyperlink ref="G226" r:id="rId225" tooltip="https://home.treasury.gov/resource-center/data-chart-center/interest-rates"/>
    <hyperlink ref="G227" r:id="rId226" tooltip="https://home.treasury.gov/resource-center/data-chart-center/interest-rates"/>
    <hyperlink ref="G228" r:id="rId227" tooltip="https://home.treasury.gov/resource-center/data-chart-center/interest-rates"/>
    <hyperlink ref="G229" r:id="rId228" tooltip="https://home.treasury.gov/resource-center/data-chart-center/interest-rates"/>
    <hyperlink ref="G230" r:id="rId229" tooltip="https://home.treasury.gov/resource-center/data-chart-center/interest-rates"/>
    <hyperlink ref="G231" r:id="rId230" tooltip="https://home.treasury.gov/resource-center/data-chart-center/interest-rates"/>
    <hyperlink ref="G232" r:id="rId231" tooltip="https://home.treasury.gov/resource-center/data-chart-center/interest-rates"/>
    <hyperlink ref="G233" r:id="rId232" tooltip="https://home.treasury.gov/resource-center/data-chart-center/interest-rates"/>
    <hyperlink ref="G234" r:id="rId233" tooltip="https://home.treasury.gov/resource-center/data-chart-center/interest-rates"/>
    <hyperlink ref="G235" r:id="rId234" tooltip="https://home.treasury.gov/resource-center/data-chart-center/interest-rates"/>
    <hyperlink ref="G236" r:id="rId235" tooltip="https://home.treasury.gov/resource-center/data-chart-center/interest-rates"/>
    <hyperlink ref="G237" r:id="rId236" tooltip="https://home.treasury.gov/resource-center/data-chart-center/interest-rates"/>
    <hyperlink ref="G238" r:id="rId237" tooltip="https://home.treasury.gov/resource-center/data-chart-center/interest-rates"/>
    <hyperlink ref="G239" r:id="rId238" tooltip="https://home.treasury.gov/resource-center/data-chart-center/interest-rates"/>
    <hyperlink ref="G240" r:id="rId239" tooltip="https://home.treasury.gov/resource-center/data-chart-center/interest-rates"/>
    <hyperlink ref="G241" r:id="rId240" tooltip="https://home.treasury.gov/resource-center/data-chart-center/interest-rates"/>
    <hyperlink ref="G242" r:id="rId241" tooltip="https://home.treasury.gov/resource-center/data-chart-center/interest-rates"/>
    <hyperlink ref="G243" r:id="rId242" tooltip="https://home.treasury.gov/resource-center/data-chart-center/interest-rates"/>
    <hyperlink ref="G244" r:id="rId243" tooltip="https://home.treasury.gov/resource-center/data-chart-center/interest-rates"/>
    <hyperlink ref="G245" r:id="rId244" tooltip="https://home.treasury.gov/resource-center/data-chart-center/interest-rates"/>
    <hyperlink ref="G246" r:id="rId245" tooltip="https://home.treasury.gov/resource-center/data-chart-center/interest-rates"/>
    <hyperlink ref="G247" r:id="rId246" tooltip="https://home.treasury.gov/resource-center/data-chart-center/interest-rates"/>
    <hyperlink ref="G248" r:id="rId247" tooltip="https://home.treasury.gov/resource-center/data-chart-center/interest-rates"/>
    <hyperlink ref="G249" r:id="rId248" tooltip="https://home.treasury.gov/resource-center/data-chart-center/interest-rates"/>
    <hyperlink ref="G250" r:id="rId249" tooltip="https://home.treasury.gov/resource-center/data-chart-center/interest-rates"/>
    <hyperlink ref="G251" r:id="rId250" tooltip="https://home.treasury.gov/resource-center/data-chart-center/interest-rates"/>
    <hyperlink ref="G252" r:id="rId251" tooltip="https://home.treasury.gov/resource-center/data-chart-center/interest-rates"/>
    <hyperlink ref="G253" r:id="rId252" tooltip="https://home.treasury.gov/resource-center/data-chart-center/interest-rates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18" outlineLevelRow="0" outlineLevelCol="0" x14ac:dyDescent="55" customHeight="1"/>
  <cols>
    <col min="1" max="1" width="18" customWidth="1"/>
    <col min="2" max="2" width="52" customWidth="1"/>
    <col min="3" max="3" width="18" customWidth="1"/>
    <col min="4" max="4" width="12" customWidth="1"/>
    <col min="5" max="5" width="14" customWidth="1"/>
    <col min="6" max="6" width="18" customWidth="1"/>
    <col min="7" max="7" width="14" customWidth="1"/>
  </cols>
  <sheetData>
    <row r="1" ht="28" customHeight="1" spans="1:7" x14ac:dyDescent="0.25">
      <c r="A1" s="1" t="s">
        <v>2</v>
      </c>
      <c r="B1" s="1" t="s">
        <v>122</v>
      </c>
      <c r="C1" s="1" t="s">
        <v>123</v>
      </c>
      <c r="D1" s="1" t="s">
        <v>116</v>
      </c>
      <c r="E1" s="1" t="s">
        <v>124</v>
      </c>
      <c r="F1" s="1" t="s">
        <v>125</v>
      </c>
      <c r="G1" s="1" t="s">
        <v>68</v>
      </c>
    </row>
    <row r="2" spans="1:7" x14ac:dyDescent="0.25">
      <c r="A2" s="2" t="s">
        <v>9</v>
      </c>
      <c r="B2" s="2" t="s">
        <v>126</v>
      </c>
      <c r="C2" s="2" t="s">
        <v>127</v>
      </c>
      <c r="D2" s="2" t="s">
        <v>120</v>
      </c>
      <c r="E2" s="2" t="s">
        <v>128</v>
      </c>
      <c r="F2" s="2" t="s">
        <v>129</v>
      </c>
      <c r="G2" s="10">
        <v>100</v>
      </c>
    </row>
    <row r="3" spans="1:7" x14ac:dyDescent="0.25">
      <c r="A3" s="6" t="s">
        <v>14</v>
      </c>
      <c r="B3" s="6" t="s">
        <v>130</v>
      </c>
      <c r="C3" s="6" t="s">
        <v>131</v>
      </c>
      <c r="D3" s="6" t="s">
        <v>120</v>
      </c>
      <c r="E3" s="6" t="s">
        <v>128</v>
      </c>
      <c r="F3" s="6" t="s">
        <v>129</v>
      </c>
      <c r="G3" s="14">
        <v>500</v>
      </c>
    </row>
    <row r="4" spans="1:7" x14ac:dyDescent="0.25">
      <c r="A4" s="2" t="s">
        <v>17</v>
      </c>
      <c r="B4" s="2" t="s">
        <v>132</v>
      </c>
      <c r="C4" s="2" t="s">
        <v>133</v>
      </c>
      <c r="D4" s="2" t="s">
        <v>120</v>
      </c>
      <c r="E4" s="2" t="s">
        <v>128</v>
      </c>
      <c r="F4" s="2" t="s">
        <v>129</v>
      </c>
      <c r="G4" s="10">
        <v>100</v>
      </c>
    </row>
    <row r="5" spans="1:7" x14ac:dyDescent="0.25">
      <c r="A5" s="6" t="s">
        <v>20</v>
      </c>
      <c r="B5" s="6" t="s">
        <v>134</v>
      </c>
      <c r="C5" s="6" t="s">
        <v>135</v>
      </c>
      <c r="D5" s="6" t="s">
        <v>120</v>
      </c>
      <c r="E5" s="6" t="s">
        <v>128</v>
      </c>
      <c r="F5" s="6" t="s">
        <v>129</v>
      </c>
      <c r="G5" s="14">
        <v>100</v>
      </c>
    </row>
    <row r="6" spans="1:7" x14ac:dyDescent="0.25">
      <c r="A6" s="2" t="s">
        <v>23</v>
      </c>
      <c r="B6" s="2" t="s">
        <v>136</v>
      </c>
      <c r="C6" s="2" t="s">
        <v>137</v>
      </c>
      <c r="D6" s="2" t="s">
        <v>120</v>
      </c>
      <c r="E6" s="2" t="s">
        <v>128</v>
      </c>
      <c r="F6" s="2" t="s">
        <v>129</v>
      </c>
      <c r="G6" s="10">
        <v>100</v>
      </c>
    </row>
    <row r="7" spans="1:7" x14ac:dyDescent="0.25">
      <c r="A7" s="6" t="s">
        <v>26</v>
      </c>
      <c r="B7" s="6" t="s">
        <v>138</v>
      </c>
      <c r="C7" s="6" t="s">
        <v>139</v>
      </c>
      <c r="D7" s="6" t="s">
        <v>120</v>
      </c>
      <c r="E7" s="6" t="s">
        <v>128</v>
      </c>
      <c r="F7" s="6" t="s">
        <v>129</v>
      </c>
      <c r="G7" s="14">
        <v>100</v>
      </c>
    </row>
    <row r="8" spans="1:7" x14ac:dyDescent="0.25">
      <c r="A8" s="2" t="s">
        <v>29</v>
      </c>
      <c r="B8" s="2" t="s">
        <v>140</v>
      </c>
      <c r="C8" s="2" t="s">
        <v>141</v>
      </c>
      <c r="D8" s="2" t="s">
        <v>120</v>
      </c>
      <c r="E8" s="2" t="s">
        <v>128</v>
      </c>
      <c r="F8" s="2" t="s">
        <v>129</v>
      </c>
      <c r="G8" s="10">
        <v>100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18" outlineLevelRow="0" outlineLevelCol="0" x14ac:dyDescent="55" customHeight="1"/>
  <cols>
    <col min="1" max="1" width="24" customWidth="1"/>
    <col min="2" max="2" width="25" customWidth="1"/>
    <col min="3" max="3" width="14" customWidth="1"/>
    <col min="4" max="4" width="24" customWidth="1"/>
    <col min="5" max="5" width="18" customWidth="1"/>
    <col min="6" max="6" width="60" customWidth="1"/>
  </cols>
  <sheetData>
    <row r="1" ht="28" customHeight="1" spans="1:6" x14ac:dyDescent="0.25">
      <c r="A1" s="1" t="s">
        <v>0</v>
      </c>
      <c r="B1" s="1" t="s">
        <v>142</v>
      </c>
      <c r="C1" s="1" t="s">
        <v>143</v>
      </c>
      <c r="D1" s="1" t="s">
        <v>144</v>
      </c>
      <c r="E1" s="1" t="s">
        <v>2</v>
      </c>
      <c r="F1" s="1" t="s">
        <v>145</v>
      </c>
    </row>
    <row r="2" spans="1:6" x14ac:dyDescent="0.25">
      <c r="A2" s="2" t="s">
        <v>146</v>
      </c>
      <c r="B2" s="2" t="s">
        <v>147</v>
      </c>
      <c r="C2" s="2" t="s">
        <v>148</v>
      </c>
      <c r="D2" s="2" t="s">
        <v>149</v>
      </c>
      <c r="E2" s="2" t="s">
        <v>150</v>
      </c>
      <c r="F2" s="30" t="s">
        <v>151</v>
      </c>
    </row>
    <row r="3" spans="1:6" x14ac:dyDescent="0.25">
      <c r="A3" s="6" t="s">
        <v>8</v>
      </c>
      <c r="B3" s="6" t="s">
        <v>152</v>
      </c>
      <c r="C3" s="31" t="s">
        <v>153</v>
      </c>
      <c r="D3" s="6" t="s">
        <v>93</v>
      </c>
      <c r="E3" s="6" t="s">
        <v>9</v>
      </c>
      <c r="F3" s="32" t="s">
        <v>154</v>
      </c>
    </row>
    <row r="4" spans="1:6" x14ac:dyDescent="0.25">
      <c r="A4" s="2" t="s">
        <v>8</v>
      </c>
      <c r="B4" s="2" t="s">
        <v>152</v>
      </c>
      <c r="C4" s="31" t="s">
        <v>153</v>
      </c>
      <c r="D4" s="2" t="s">
        <v>93</v>
      </c>
      <c r="E4" s="2" t="s">
        <v>14</v>
      </c>
      <c r="F4" s="30" t="s">
        <v>154</v>
      </c>
    </row>
    <row r="5" spans="1:6" x14ac:dyDescent="0.25">
      <c r="A5" s="6" t="s">
        <v>8</v>
      </c>
      <c r="B5" s="6" t="s">
        <v>152</v>
      </c>
      <c r="C5" s="31" t="s">
        <v>153</v>
      </c>
      <c r="D5" s="6" t="s">
        <v>93</v>
      </c>
      <c r="E5" s="6" t="s">
        <v>17</v>
      </c>
      <c r="F5" s="32" t="s">
        <v>154</v>
      </c>
    </row>
    <row r="6" spans="1:6" x14ac:dyDescent="0.25">
      <c r="A6" s="2" t="s">
        <v>8</v>
      </c>
      <c r="B6" s="2" t="s">
        <v>152</v>
      </c>
      <c r="C6" s="31" t="s">
        <v>153</v>
      </c>
      <c r="D6" s="2" t="s">
        <v>93</v>
      </c>
      <c r="E6" s="2" t="s">
        <v>20</v>
      </c>
      <c r="F6" s="30" t="s">
        <v>154</v>
      </c>
    </row>
    <row r="7" spans="1:6" x14ac:dyDescent="0.25">
      <c r="A7" s="6" t="s">
        <v>8</v>
      </c>
      <c r="B7" s="6" t="s">
        <v>152</v>
      </c>
      <c r="C7" s="31" t="s">
        <v>153</v>
      </c>
      <c r="D7" s="6" t="s">
        <v>93</v>
      </c>
      <c r="E7" s="6" t="s">
        <v>23</v>
      </c>
      <c r="F7" s="32" t="s">
        <v>154</v>
      </c>
    </row>
    <row r="8" spans="1:6" x14ac:dyDescent="0.25">
      <c r="A8" s="2" t="s">
        <v>8</v>
      </c>
      <c r="B8" s="2" t="s">
        <v>152</v>
      </c>
      <c r="C8" s="31" t="s">
        <v>153</v>
      </c>
      <c r="D8" s="2" t="s">
        <v>93</v>
      </c>
      <c r="E8" s="2" t="s">
        <v>26</v>
      </c>
      <c r="F8" s="30" t="s">
        <v>154</v>
      </c>
    </row>
    <row r="9" spans="1:6" x14ac:dyDescent="0.25">
      <c r="A9" s="6" t="s">
        <v>8</v>
      </c>
      <c r="B9" s="6" t="s">
        <v>152</v>
      </c>
      <c r="C9" s="31" t="s">
        <v>153</v>
      </c>
      <c r="D9" s="6" t="s">
        <v>93</v>
      </c>
      <c r="E9" s="6" t="s">
        <v>29</v>
      </c>
      <c r="F9" s="32" t="s">
        <v>154</v>
      </c>
    </row>
    <row r="10" spans="1:6" x14ac:dyDescent="0.25">
      <c r="A10" s="2" t="s">
        <v>80</v>
      </c>
      <c r="B10" s="2" t="s">
        <v>155</v>
      </c>
      <c r="C10" s="31" t="s">
        <v>153</v>
      </c>
      <c r="D10" s="2" t="s">
        <v>156</v>
      </c>
      <c r="E10" s="2" t="s">
        <v>150</v>
      </c>
      <c r="F10" s="30" t="s">
        <v>157</v>
      </c>
    </row>
    <row r="11" spans="1:6" x14ac:dyDescent="0.25">
      <c r="A11" s="6" t="s">
        <v>32</v>
      </c>
      <c r="B11" s="6" t="s">
        <v>158</v>
      </c>
      <c r="C11" s="31" t="s">
        <v>153</v>
      </c>
      <c r="D11" s="6" t="s">
        <v>93</v>
      </c>
      <c r="E11" s="6" t="s">
        <v>9</v>
      </c>
      <c r="F11" s="32" t="s">
        <v>154</v>
      </c>
    </row>
    <row r="12" spans="1:6" x14ac:dyDescent="0.25">
      <c r="A12" s="2" t="s">
        <v>32</v>
      </c>
      <c r="B12" s="2" t="s">
        <v>158</v>
      </c>
      <c r="C12" s="31" t="s">
        <v>153</v>
      </c>
      <c r="D12" s="2" t="s">
        <v>93</v>
      </c>
      <c r="E12" s="2" t="s">
        <v>14</v>
      </c>
      <c r="F12" s="30" t="s">
        <v>154</v>
      </c>
    </row>
    <row r="13" spans="1:6" x14ac:dyDescent="0.25">
      <c r="A13" s="6" t="s">
        <v>32</v>
      </c>
      <c r="B13" s="6" t="s">
        <v>158</v>
      </c>
      <c r="C13" s="31" t="s">
        <v>153</v>
      </c>
      <c r="D13" s="6" t="s">
        <v>93</v>
      </c>
      <c r="E13" s="6" t="s">
        <v>17</v>
      </c>
      <c r="F13" s="32" t="s">
        <v>154</v>
      </c>
    </row>
    <row r="14" spans="1:6" x14ac:dyDescent="0.25">
      <c r="A14" s="2" t="s">
        <v>32</v>
      </c>
      <c r="B14" s="2" t="s">
        <v>158</v>
      </c>
      <c r="C14" s="31" t="s">
        <v>153</v>
      </c>
      <c r="D14" s="2" t="s">
        <v>93</v>
      </c>
      <c r="E14" s="2" t="s">
        <v>20</v>
      </c>
      <c r="F14" s="30" t="s">
        <v>154</v>
      </c>
    </row>
    <row r="15" spans="1:6" x14ac:dyDescent="0.25">
      <c r="A15" s="6" t="s">
        <v>32</v>
      </c>
      <c r="B15" s="6" t="s">
        <v>158</v>
      </c>
      <c r="C15" s="31" t="s">
        <v>153</v>
      </c>
      <c r="D15" s="6" t="s">
        <v>93</v>
      </c>
      <c r="E15" s="6" t="s">
        <v>23</v>
      </c>
      <c r="F15" s="32" t="s">
        <v>154</v>
      </c>
    </row>
    <row r="16" spans="1:6" x14ac:dyDescent="0.25">
      <c r="A16" s="2" t="s">
        <v>32</v>
      </c>
      <c r="B16" s="2" t="s">
        <v>158</v>
      </c>
      <c r="C16" s="31" t="s">
        <v>153</v>
      </c>
      <c r="D16" s="2" t="s">
        <v>93</v>
      </c>
      <c r="E16" s="2" t="s">
        <v>26</v>
      </c>
      <c r="F16" s="30" t="s">
        <v>154</v>
      </c>
    </row>
    <row r="17" spans="1:6" x14ac:dyDescent="0.25">
      <c r="A17" s="6" t="s">
        <v>32</v>
      </c>
      <c r="B17" s="6" t="s">
        <v>158</v>
      </c>
      <c r="C17" s="31" t="s">
        <v>153</v>
      </c>
      <c r="D17" s="6" t="s">
        <v>93</v>
      </c>
      <c r="E17" s="6" t="s">
        <v>29</v>
      </c>
      <c r="F17" s="32" t="s">
        <v>154</v>
      </c>
    </row>
    <row r="18" spans="1:6" x14ac:dyDescent="0.25">
      <c r="A18" s="2" t="s">
        <v>34</v>
      </c>
      <c r="B18" s="2" t="s">
        <v>159</v>
      </c>
      <c r="C18" s="31" t="s">
        <v>153</v>
      </c>
      <c r="D18" s="2" t="s">
        <v>93</v>
      </c>
      <c r="E18" s="2" t="s">
        <v>9</v>
      </c>
      <c r="F18" s="30" t="s">
        <v>154</v>
      </c>
    </row>
    <row r="19" spans="1:6" x14ac:dyDescent="0.25">
      <c r="A19" s="6" t="s">
        <v>34</v>
      </c>
      <c r="B19" s="6" t="s">
        <v>159</v>
      </c>
      <c r="C19" s="31" t="s">
        <v>153</v>
      </c>
      <c r="D19" s="6" t="s">
        <v>93</v>
      </c>
      <c r="E19" s="6" t="s">
        <v>14</v>
      </c>
      <c r="F19" s="32" t="s">
        <v>154</v>
      </c>
    </row>
    <row r="20" spans="1:6" x14ac:dyDescent="0.25">
      <c r="A20" s="2" t="s">
        <v>34</v>
      </c>
      <c r="B20" s="2" t="s">
        <v>159</v>
      </c>
      <c r="C20" s="31" t="s">
        <v>153</v>
      </c>
      <c r="D20" s="2" t="s">
        <v>93</v>
      </c>
      <c r="E20" s="2" t="s">
        <v>17</v>
      </c>
      <c r="F20" s="30" t="s">
        <v>154</v>
      </c>
    </row>
    <row r="21" spans="1:6" x14ac:dyDescent="0.25">
      <c r="A21" s="6" t="s">
        <v>34</v>
      </c>
      <c r="B21" s="6" t="s">
        <v>159</v>
      </c>
      <c r="C21" s="31" t="s">
        <v>153</v>
      </c>
      <c r="D21" s="6" t="s">
        <v>93</v>
      </c>
      <c r="E21" s="6" t="s">
        <v>20</v>
      </c>
      <c r="F21" s="32" t="s">
        <v>154</v>
      </c>
    </row>
    <row r="22" spans="1:6" x14ac:dyDescent="0.25">
      <c r="A22" s="2" t="s">
        <v>34</v>
      </c>
      <c r="B22" s="2" t="s">
        <v>159</v>
      </c>
      <c r="C22" s="31" t="s">
        <v>153</v>
      </c>
      <c r="D22" s="2" t="s">
        <v>93</v>
      </c>
      <c r="E22" s="2" t="s">
        <v>23</v>
      </c>
      <c r="F22" s="30" t="s">
        <v>154</v>
      </c>
    </row>
    <row r="23" spans="1:6" x14ac:dyDescent="0.25">
      <c r="A23" s="6" t="s">
        <v>34</v>
      </c>
      <c r="B23" s="6" t="s">
        <v>159</v>
      </c>
      <c r="C23" s="31" t="s">
        <v>153</v>
      </c>
      <c r="D23" s="6" t="s">
        <v>93</v>
      </c>
      <c r="E23" s="6" t="s">
        <v>26</v>
      </c>
      <c r="F23" s="32" t="s">
        <v>154</v>
      </c>
    </row>
    <row r="24" spans="1:6" x14ac:dyDescent="0.25">
      <c r="A24" s="2" t="s">
        <v>34</v>
      </c>
      <c r="B24" s="2" t="s">
        <v>159</v>
      </c>
      <c r="C24" s="31" t="s">
        <v>153</v>
      </c>
      <c r="D24" s="2" t="s">
        <v>93</v>
      </c>
      <c r="E24" s="2" t="s">
        <v>29</v>
      </c>
      <c r="F24" s="30" t="s">
        <v>154</v>
      </c>
    </row>
    <row r="25" spans="1:6" x14ac:dyDescent="0.25">
      <c r="A25" s="6" t="s">
        <v>36</v>
      </c>
      <c r="B25" s="6" t="s">
        <v>160</v>
      </c>
      <c r="C25" s="31" t="s">
        <v>153</v>
      </c>
      <c r="D25" s="6" t="s">
        <v>93</v>
      </c>
      <c r="E25" s="6" t="s">
        <v>9</v>
      </c>
      <c r="F25" s="32" t="s">
        <v>154</v>
      </c>
    </row>
    <row r="26" spans="1:6" x14ac:dyDescent="0.25">
      <c r="A26" s="2" t="s">
        <v>36</v>
      </c>
      <c r="B26" s="2" t="s">
        <v>160</v>
      </c>
      <c r="C26" s="31" t="s">
        <v>153</v>
      </c>
      <c r="D26" s="2" t="s">
        <v>93</v>
      </c>
      <c r="E26" s="2" t="s">
        <v>14</v>
      </c>
      <c r="F26" s="30" t="s">
        <v>154</v>
      </c>
    </row>
    <row r="27" spans="1:6" x14ac:dyDescent="0.25">
      <c r="A27" s="6" t="s">
        <v>36</v>
      </c>
      <c r="B27" s="6" t="s">
        <v>160</v>
      </c>
      <c r="C27" s="31" t="s">
        <v>153</v>
      </c>
      <c r="D27" s="6" t="s">
        <v>93</v>
      </c>
      <c r="E27" s="6" t="s">
        <v>17</v>
      </c>
      <c r="F27" s="32" t="s">
        <v>154</v>
      </c>
    </row>
    <row r="28" spans="1:6" x14ac:dyDescent="0.25">
      <c r="A28" s="2" t="s">
        <v>36</v>
      </c>
      <c r="B28" s="2" t="s">
        <v>160</v>
      </c>
      <c r="C28" s="31" t="s">
        <v>153</v>
      </c>
      <c r="D28" s="2" t="s">
        <v>93</v>
      </c>
      <c r="E28" s="2" t="s">
        <v>20</v>
      </c>
      <c r="F28" s="30" t="s">
        <v>154</v>
      </c>
    </row>
    <row r="29" spans="1:6" x14ac:dyDescent="0.25">
      <c r="A29" s="6" t="s">
        <v>36</v>
      </c>
      <c r="B29" s="6" t="s">
        <v>160</v>
      </c>
      <c r="C29" s="31" t="s">
        <v>153</v>
      </c>
      <c r="D29" s="6" t="s">
        <v>93</v>
      </c>
      <c r="E29" s="6" t="s">
        <v>23</v>
      </c>
      <c r="F29" s="32" t="s">
        <v>154</v>
      </c>
    </row>
    <row r="30" spans="1:6" x14ac:dyDescent="0.25">
      <c r="A30" s="2" t="s">
        <v>36</v>
      </c>
      <c r="B30" s="2" t="s">
        <v>160</v>
      </c>
      <c r="C30" s="31" t="s">
        <v>153</v>
      </c>
      <c r="D30" s="2" t="s">
        <v>93</v>
      </c>
      <c r="E30" s="2" t="s">
        <v>26</v>
      </c>
      <c r="F30" s="30" t="s">
        <v>154</v>
      </c>
    </row>
    <row r="31" spans="1:6" x14ac:dyDescent="0.25">
      <c r="A31" s="6" t="s">
        <v>36</v>
      </c>
      <c r="B31" s="6" t="s">
        <v>160</v>
      </c>
      <c r="C31" s="31" t="s">
        <v>153</v>
      </c>
      <c r="D31" s="6" t="s">
        <v>93</v>
      </c>
      <c r="E31" s="6" t="s">
        <v>29</v>
      </c>
      <c r="F31" s="32" t="s">
        <v>154</v>
      </c>
    </row>
    <row r="32" spans="1:6" x14ac:dyDescent="0.25">
      <c r="A32" s="2" t="s">
        <v>38</v>
      </c>
      <c r="B32" s="2" t="s">
        <v>161</v>
      </c>
      <c r="C32" s="31" t="s">
        <v>153</v>
      </c>
      <c r="D32" s="2" t="s">
        <v>93</v>
      </c>
      <c r="E32" s="2" t="s">
        <v>9</v>
      </c>
      <c r="F32" s="30" t="s">
        <v>154</v>
      </c>
    </row>
    <row r="33" spans="1:6" x14ac:dyDescent="0.25">
      <c r="A33" s="6" t="s">
        <v>38</v>
      </c>
      <c r="B33" s="6" t="s">
        <v>161</v>
      </c>
      <c r="C33" s="31" t="s">
        <v>153</v>
      </c>
      <c r="D33" s="6" t="s">
        <v>93</v>
      </c>
      <c r="E33" s="6" t="s">
        <v>14</v>
      </c>
      <c r="F33" s="32" t="s">
        <v>154</v>
      </c>
    </row>
    <row r="34" spans="1:6" x14ac:dyDescent="0.25">
      <c r="A34" s="2" t="s">
        <v>38</v>
      </c>
      <c r="B34" s="2" t="s">
        <v>161</v>
      </c>
      <c r="C34" s="31" t="s">
        <v>153</v>
      </c>
      <c r="D34" s="2" t="s">
        <v>93</v>
      </c>
      <c r="E34" s="2" t="s">
        <v>17</v>
      </c>
      <c r="F34" s="30" t="s">
        <v>154</v>
      </c>
    </row>
    <row r="35" spans="1:6" x14ac:dyDescent="0.25">
      <c r="A35" s="6" t="s">
        <v>38</v>
      </c>
      <c r="B35" s="6" t="s">
        <v>161</v>
      </c>
      <c r="C35" s="31" t="s">
        <v>153</v>
      </c>
      <c r="D35" s="6" t="s">
        <v>93</v>
      </c>
      <c r="E35" s="6" t="s">
        <v>20</v>
      </c>
      <c r="F35" s="32" t="s">
        <v>154</v>
      </c>
    </row>
    <row r="36" spans="1:6" x14ac:dyDescent="0.25">
      <c r="A36" s="2" t="s">
        <v>38</v>
      </c>
      <c r="B36" s="2" t="s">
        <v>161</v>
      </c>
      <c r="C36" s="31" t="s">
        <v>153</v>
      </c>
      <c r="D36" s="2" t="s">
        <v>93</v>
      </c>
      <c r="E36" s="2" t="s">
        <v>23</v>
      </c>
      <c r="F36" s="30" t="s">
        <v>154</v>
      </c>
    </row>
    <row r="37" spans="1:6" x14ac:dyDescent="0.25">
      <c r="A37" s="6" t="s">
        <v>38</v>
      </c>
      <c r="B37" s="6" t="s">
        <v>161</v>
      </c>
      <c r="C37" s="31" t="s">
        <v>153</v>
      </c>
      <c r="D37" s="6" t="s">
        <v>93</v>
      </c>
      <c r="E37" s="6" t="s">
        <v>26</v>
      </c>
      <c r="F37" s="32" t="s">
        <v>154</v>
      </c>
    </row>
    <row r="38" spans="1:6" x14ac:dyDescent="0.25">
      <c r="A38" s="2" t="s">
        <v>38</v>
      </c>
      <c r="B38" s="2" t="s">
        <v>161</v>
      </c>
      <c r="C38" s="31" t="s">
        <v>153</v>
      </c>
      <c r="D38" s="2" t="s">
        <v>93</v>
      </c>
      <c r="E38" s="2" t="s">
        <v>29</v>
      </c>
      <c r="F38" s="30" t="s">
        <v>154</v>
      </c>
    </row>
    <row r="39" spans="1:6" x14ac:dyDescent="0.25">
      <c r="A39" s="6" t="s">
        <v>40</v>
      </c>
      <c r="B39" s="6" t="s">
        <v>162</v>
      </c>
      <c r="C39" s="31" t="s">
        <v>153</v>
      </c>
      <c r="D39" s="6" t="s">
        <v>93</v>
      </c>
      <c r="E39" s="6" t="s">
        <v>9</v>
      </c>
      <c r="F39" s="32" t="s">
        <v>154</v>
      </c>
    </row>
    <row r="40" spans="1:6" x14ac:dyDescent="0.25">
      <c r="A40" s="2" t="s">
        <v>40</v>
      </c>
      <c r="B40" s="2" t="s">
        <v>162</v>
      </c>
      <c r="C40" s="31" t="s">
        <v>153</v>
      </c>
      <c r="D40" s="2" t="s">
        <v>93</v>
      </c>
      <c r="E40" s="2" t="s">
        <v>14</v>
      </c>
      <c r="F40" s="30" t="s">
        <v>154</v>
      </c>
    </row>
    <row r="41" spans="1:6" x14ac:dyDescent="0.25">
      <c r="A41" s="6" t="s">
        <v>40</v>
      </c>
      <c r="B41" s="6" t="s">
        <v>162</v>
      </c>
      <c r="C41" s="31" t="s">
        <v>153</v>
      </c>
      <c r="D41" s="6" t="s">
        <v>93</v>
      </c>
      <c r="E41" s="6" t="s">
        <v>17</v>
      </c>
      <c r="F41" s="32" t="s">
        <v>154</v>
      </c>
    </row>
    <row r="42" spans="1:6" x14ac:dyDescent="0.25">
      <c r="A42" s="2" t="s">
        <v>40</v>
      </c>
      <c r="B42" s="2" t="s">
        <v>162</v>
      </c>
      <c r="C42" s="31" t="s">
        <v>153</v>
      </c>
      <c r="D42" s="2" t="s">
        <v>93</v>
      </c>
      <c r="E42" s="2" t="s">
        <v>20</v>
      </c>
      <c r="F42" s="30" t="s">
        <v>154</v>
      </c>
    </row>
    <row r="43" spans="1:6" x14ac:dyDescent="0.25">
      <c r="A43" s="6" t="s">
        <v>40</v>
      </c>
      <c r="B43" s="6" t="s">
        <v>162</v>
      </c>
      <c r="C43" s="31" t="s">
        <v>153</v>
      </c>
      <c r="D43" s="6" t="s">
        <v>93</v>
      </c>
      <c r="E43" s="6" t="s">
        <v>23</v>
      </c>
      <c r="F43" s="32" t="s">
        <v>154</v>
      </c>
    </row>
    <row r="44" spans="1:6" x14ac:dyDescent="0.25">
      <c r="A44" s="2" t="s">
        <v>40</v>
      </c>
      <c r="B44" s="2" t="s">
        <v>162</v>
      </c>
      <c r="C44" s="31" t="s">
        <v>153</v>
      </c>
      <c r="D44" s="2" t="s">
        <v>93</v>
      </c>
      <c r="E44" s="2" t="s">
        <v>26</v>
      </c>
      <c r="F44" s="30" t="s">
        <v>154</v>
      </c>
    </row>
    <row r="45" spans="1:6" x14ac:dyDescent="0.25">
      <c r="A45" s="6" t="s">
        <v>40</v>
      </c>
      <c r="B45" s="6" t="s">
        <v>162</v>
      </c>
      <c r="C45" s="31" t="s">
        <v>153</v>
      </c>
      <c r="D45" s="6" t="s">
        <v>93</v>
      </c>
      <c r="E45" s="6" t="s">
        <v>29</v>
      </c>
      <c r="F45" s="32" t="s">
        <v>154</v>
      </c>
    </row>
    <row r="46" spans="1:6" x14ac:dyDescent="0.25">
      <c r="A46" s="2" t="s">
        <v>42</v>
      </c>
      <c r="B46" s="2" t="s">
        <v>43</v>
      </c>
      <c r="C46" s="31" t="s">
        <v>153</v>
      </c>
      <c r="D46" s="2" t="s">
        <v>93</v>
      </c>
      <c r="E46" s="2" t="s">
        <v>9</v>
      </c>
      <c r="F46" s="30" t="s">
        <v>154</v>
      </c>
    </row>
    <row r="47" spans="1:6" x14ac:dyDescent="0.25">
      <c r="A47" s="6" t="s">
        <v>42</v>
      </c>
      <c r="B47" s="6" t="s">
        <v>43</v>
      </c>
      <c r="C47" s="31" t="s">
        <v>153</v>
      </c>
      <c r="D47" s="6" t="s">
        <v>93</v>
      </c>
      <c r="E47" s="6" t="s">
        <v>14</v>
      </c>
      <c r="F47" s="32" t="s">
        <v>154</v>
      </c>
    </row>
    <row r="48" spans="1:6" x14ac:dyDescent="0.25">
      <c r="A48" s="2" t="s">
        <v>42</v>
      </c>
      <c r="B48" s="2" t="s">
        <v>43</v>
      </c>
      <c r="C48" s="31" t="s">
        <v>153</v>
      </c>
      <c r="D48" s="2" t="s">
        <v>93</v>
      </c>
      <c r="E48" s="2" t="s">
        <v>17</v>
      </c>
      <c r="F48" s="30" t="s">
        <v>154</v>
      </c>
    </row>
    <row r="49" spans="1:6" x14ac:dyDescent="0.25">
      <c r="A49" s="6" t="s">
        <v>42</v>
      </c>
      <c r="B49" s="6" t="s">
        <v>43</v>
      </c>
      <c r="C49" s="31" t="s">
        <v>153</v>
      </c>
      <c r="D49" s="6" t="s">
        <v>93</v>
      </c>
      <c r="E49" s="6" t="s">
        <v>20</v>
      </c>
      <c r="F49" s="32" t="s">
        <v>154</v>
      </c>
    </row>
    <row r="50" spans="1:6" x14ac:dyDescent="0.25">
      <c r="A50" s="2" t="s">
        <v>42</v>
      </c>
      <c r="B50" s="2" t="s">
        <v>43</v>
      </c>
      <c r="C50" s="31" t="s">
        <v>153</v>
      </c>
      <c r="D50" s="2" t="s">
        <v>93</v>
      </c>
      <c r="E50" s="2" t="s">
        <v>23</v>
      </c>
      <c r="F50" s="30" t="s">
        <v>154</v>
      </c>
    </row>
    <row r="51" spans="1:6" x14ac:dyDescent="0.25">
      <c r="A51" s="6" t="s">
        <v>42</v>
      </c>
      <c r="B51" s="6" t="s">
        <v>43</v>
      </c>
      <c r="C51" s="31" t="s">
        <v>153</v>
      </c>
      <c r="D51" s="6" t="s">
        <v>93</v>
      </c>
      <c r="E51" s="6" t="s">
        <v>26</v>
      </c>
      <c r="F51" s="32" t="s">
        <v>154</v>
      </c>
    </row>
    <row r="52" spans="1:6" x14ac:dyDescent="0.25">
      <c r="A52" s="2" t="s">
        <v>42</v>
      </c>
      <c r="B52" s="2" t="s">
        <v>43</v>
      </c>
      <c r="C52" s="31" t="s">
        <v>153</v>
      </c>
      <c r="D52" s="2" t="s">
        <v>93</v>
      </c>
      <c r="E52" s="2" t="s">
        <v>29</v>
      </c>
      <c r="F52" s="30" t="s">
        <v>154</v>
      </c>
    </row>
    <row r="53" spans="1:6" x14ac:dyDescent="0.25">
      <c r="A53" s="6" t="s">
        <v>44</v>
      </c>
      <c r="B53" s="6" t="s">
        <v>45</v>
      </c>
      <c r="C53" s="31" t="s">
        <v>153</v>
      </c>
      <c r="D53" s="6" t="s">
        <v>93</v>
      </c>
      <c r="E53" s="6" t="s">
        <v>9</v>
      </c>
      <c r="F53" s="32" t="s">
        <v>154</v>
      </c>
    </row>
    <row r="54" spans="1:6" x14ac:dyDescent="0.25">
      <c r="A54" s="2" t="s">
        <v>44</v>
      </c>
      <c r="B54" s="2" t="s">
        <v>45</v>
      </c>
      <c r="C54" s="31" t="s">
        <v>153</v>
      </c>
      <c r="D54" s="2" t="s">
        <v>93</v>
      </c>
      <c r="E54" s="2" t="s">
        <v>14</v>
      </c>
      <c r="F54" s="30" t="s">
        <v>154</v>
      </c>
    </row>
    <row r="55" spans="1:6" x14ac:dyDescent="0.25">
      <c r="A55" s="6" t="s">
        <v>44</v>
      </c>
      <c r="B55" s="6" t="s">
        <v>45</v>
      </c>
      <c r="C55" s="31" t="s">
        <v>153</v>
      </c>
      <c r="D55" s="6" t="s">
        <v>93</v>
      </c>
      <c r="E55" s="6" t="s">
        <v>17</v>
      </c>
      <c r="F55" s="32" t="s">
        <v>154</v>
      </c>
    </row>
    <row r="56" spans="1:6" x14ac:dyDescent="0.25">
      <c r="A56" s="2" t="s">
        <v>44</v>
      </c>
      <c r="B56" s="2" t="s">
        <v>45</v>
      </c>
      <c r="C56" s="31" t="s">
        <v>153</v>
      </c>
      <c r="D56" s="2" t="s">
        <v>93</v>
      </c>
      <c r="E56" s="2" t="s">
        <v>20</v>
      </c>
      <c r="F56" s="30" t="s">
        <v>154</v>
      </c>
    </row>
    <row r="57" spans="1:6" x14ac:dyDescent="0.25">
      <c r="A57" s="6" t="s">
        <v>44</v>
      </c>
      <c r="B57" s="6" t="s">
        <v>45</v>
      </c>
      <c r="C57" s="31" t="s">
        <v>153</v>
      </c>
      <c r="D57" s="6" t="s">
        <v>93</v>
      </c>
      <c r="E57" s="6" t="s">
        <v>23</v>
      </c>
      <c r="F57" s="32" t="s">
        <v>154</v>
      </c>
    </row>
    <row r="58" spans="1:6" x14ac:dyDescent="0.25">
      <c r="A58" s="2" t="s">
        <v>44</v>
      </c>
      <c r="B58" s="2" t="s">
        <v>45</v>
      </c>
      <c r="C58" s="31" t="s">
        <v>153</v>
      </c>
      <c r="D58" s="2" t="s">
        <v>93</v>
      </c>
      <c r="E58" s="2" t="s">
        <v>26</v>
      </c>
      <c r="F58" s="30" t="s">
        <v>154</v>
      </c>
    </row>
    <row r="59" spans="1:6" x14ac:dyDescent="0.25">
      <c r="A59" s="6" t="s">
        <v>44</v>
      </c>
      <c r="B59" s="6" t="s">
        <v>45</v>
      </c>
      <c r="C59" s="31" t="s">
        <v>153</v>
      </c>
      <c r="D59" s="6" t="s">
        <v>93</v>
      </c>
      <c r="E59" s="6" t="s">
        <v>29</v>
      </c>
      <c r="F59" s="32" t="s">
        <v>154</v>
      </c>
    </row>
    <row r="60" spans="1:6" x14ac:dyDescent="0.25">
      <c r="A60" s="2" t="s">
        <v>46</v>
      </c>
      <c r="B60" s="2" t="s">
        <v>163</v>
      </c>
      <c r="C60" s="31" t="s">
        <v>153</v>
      </c>
      <c r="D60" s="2" t="s">
        <v>93</v>
      </c>
      <c r="E60" s="2" t="s">
        <v>9</v>
      </c>
      <c r="F60" s="30" t="s">
        <v>154</v>
      </c>
    </row>
    <row r="61" spans="1:6" x14ac:dyDescent="0.25">
      <c r="A61" s="6" t="s">
        <v>46</v>
      </c>
      <c r="B61" s="6" t="s">
        <v>163</v>
      </c>
      <c r="C61" s="31" t="s">
        <v>153</v>
      </c>
      <c r="D61" s="6" t="s">
        <v>93</v>
      </c>
      <c r="E61" s="6" t="s">
        <v>14</v>
      </c>
      <c r="F61" s="32" t="s">
        <v>154</v>
      </c>
    </row>
    <row r="62" spans="1:6" x14ac:dyDescent="0.25">
      <c r="A62" s="2" t="s">
        <v>46</v>
      </c>
      <c r="B62" s="2" t="s">
        <v>163</v>
      </c>
      <c r="C62" s="31" t="s">
        <v>153</v>
      </c>
      <c r="D62" s="2" t="s">
        <v>93</v>
      </c>
      <c r="E62" s="2" t="s">
        <v>17</v>
      </c>
      <c r="F62" s="30" t="s">
        <v>154</v>
      </c>
    </row>
    <row r="63" spans="1:6" x14ac:dyDescent="0.25">
      <c r="A63" s="6" t="s">
        <v>46</v>
      </c>
      <c r="B63" s="6" t="s">
        <v>163</v>
      </c>
      <c r="C63" s="31" t="s">
        <v>153</v>
      </c>
      <c r="D63" s="6" t="s">
        <v>93</v>
      </c>
      <c r="E63" s="6" t="s">
        <v>20</v>
      </c>
      <c r="F63" s="32" t="s">
        <v>154</v>
      </c>
    </row>
    <row r="64" spans="1:6" x14ac:dyDescent="0.25">
      <c r="A64" s="2" t="s">
        <v>46</v>
      </c>
      <c r="B64" s="2" t="s">
        <v>163</v>
      </c>
      <c r="C64" s="31" t="s">
        <v>153</v>
      </c>
      <c r="D64" s="2" t="s">
        <v>93</v>
      </c>
      <c r="E64" s="2" t="s">
        <v>23</v>
      </c>
      <c r="F64" s="30" t="s">
        <v>154</v>
      </c>
    </row>
    <row r="65" spans="1:6" x14ac:dyDescent="0.25">
      <c r="A65" s="6" t="s">
        <v>46</v>
      </c>
      <c r="B65" s="6" t="s">
        <v>163</v>
      </c>
      <c r="C65" s="31" t="s">
        <v>153</v>
      </c>
      <c r="D65" s="6" t="s">
        <v>93</v>
      </c>
      <c r="E65" s="6" t="s">
        <v>26</v>
      </c>
      <c r="F65" s="32" t="s">
        <v>154</v>
      </c>
    </row>
    <row r="66" spans="1:6" x14ac:dyDescent="0.25">
      <c r="A66" s="2" t="s">
        <v>46</v>
      </c>
      <c r="B66" s="2" t="s">
        <v>163</v>
      </c>
      <c r="C66" s="31" t="s">
        <v>153</v>
      </c>
      <c r="D66" s="2" t="s">
        <v>93</v>
      </c>
      <c r="E66" s="2" t="s">
        <v>29</v>
      </c>
      <c r="F66" s="30" t="s">
        <v>154</v>
      </c>
    </row>
    <row r="67" spans="1:6" x14ac:dyDescent="0.25">
      <c r="A67" s="6" t="s">
        <v>48</v>
      </c>
      <c r="B67" s="6" t="s">
        <v>49</v>
      </c>
      <c r="C67" s="31" t="s">
        <v>153</v>
      </c>
      <c r="D67" s="6" t="s">
        <v>93</v>
      </c>
      <c r="E67" s="6" t="s">
        <v>9</v>
      </c>
      <c r="F67" s="32" t="s">
        <v>154</v>
      </c>
    </row>
    <row r="68" spans="1:6" x14ac:dyDescent="0.25">
      <c r="A68" s="2" t="s">
        <v>48</v>
      </c>
      <c r="B68" s="2" t="s">
        <v>49</v>
      </c>
      <c r="C68" s="31" t="s">
        <v>153</v>
      </c>
      <c r="D68" s="2" t="s">
        <v>93</v>
      </c>
      <c r="E68" s="2" t="s">
        <v>14</v>
      </c>
      <c r="F68" s="30" t="s">
        <v>154</v>
      </c>
    </row>
    <row r="69" spans="1:6" x14ac:dyDescent="0.25">
      <c r="A69" s="6" t="s">
        <v>48</v>
      </c>
      <c r="B69" s="6" t="s">
        <v>49</v>
      </c>
      <c r="C69" s="31" t="s">
        <v>153</v>
      </c>
      <c r="D69" s="6" t="s">
        <v>93</v>
      </c>
      <c r="E69" s="6" t="s">
        <v>17</v>
      </c>
      <c r="F69" s="32" t="s">
        <v>154</v>
      </c>
    </row>
    <row r="70" spans="1:6" x14ac:dyDescent="0.25">
      <c r="A70" s="2" t="s">
        <v>48</v>
      </c>
      <c r="B70" s="2" t="s">
        <v>49</v>
      </c>
      <c r="C70" s="31" t="s">
        <v>153</v>
      </c>
      <c r="D70" s="2" t="s">
        <v>93</v>
      </c>
      <c r="E70" s="2" t="s">
        <v>20</v>
      </c>
      <c r="F70" s="30" t="s">
        <v>154</v>
      </c>
    </row>
    <row r="71" spans="1:6" x14ac:dyDescent="0.25">
      <c r="A71" s="6" t="s">
        <v>48</v>
      </c>
      <c r="B71" s="6" t="s">
        <v>49</v>
      </c>
      <c r="C71" s="31" t="s">
        <v>153</v>
      </c>
      <c r="D71" s="6" t="s">
        <v>93</v>
      </c>
      <c r="E71" s="6" t="s">
        <v>23</v>
      </c>
      <c r="F71" s="32" t="s">
        <v>154</v>
      </c>
    </row>
    <row r="72" spans="1:6" x14ac:dyDescent="0.25">
      <c r="A72" s="2" t="s">
        <v>48</v>
      </c>
      <c r="B72" s="2" t="s">
        <v>49</v>
      </c>
      <c r="C72" s="31" t="s">
        <v>153</v>
      </c>
      <c r="D72" s="2" t="s">
        <v>93</v>
      </c>
      <c r="E72" s="2" t="s">
        <v>26</v>
      </c>
      <c r="F72" s="30" t="s">
        <v>154</v>
      </c>
    </row>
    <row r="73" spans="1:6" x14ac:dyDescent="0.25">
      <c r="A73" s="6" t="s">
        <v>48</v>
      </c>
      <c r="B73" s="6" t="s">
        <v>49</v>
      </c>
      <c r="C73" s="31" t="s">
        <v>153</v>
      </c>
      <c r="D73" s="6" t="s">
        <v>93</v>
      </c>
      <c r="E73" s="6" t="s">
        <v>29</v>
      </c>
      <c r="F73" s="32" t="s">
        <v>154</v>
      </c>
    </row>
    <row r="74" spans="1:6" x14ac:dyDescent="0.25">
      <c r="A74" s="2" t="s">
        <v>50</v>
      </c>
      <c r="B74" s="2" t="s">
        <v>51</v>
      </c>
      <c r="C74" s="31" t="s">
        <v>153</v>
      </c>
      <c r="D74" s="2" t="s">
        <v>93</v>
      </c>
      <c r="E74" s="2" t="s">
        <v>9</v>
      </c>
      <c r="F74" s="30" t="s">
        <v>154</v>
      </c>
    </row>
    <row r="75" spans="1:6" x14ac:dyDescent="0.25">
      <c r="A75" s="6" t="s">
        <v>50</v>
      </c>
      <c r="B75" s="6" t="s">
        <v>51</v>
      </c>
      <c r="C75" s="31" t="s">
        <v>153</v>
      </c>
      <c r="D75" s="6" t="s">
        <v>93</v>
      </c>
      <c r="E75" s="6" t="s">
        <v>14</v>
      </c>
      <c r="F75" s="32" t="s">
        <v>154</v>
      </c>
    </row>
    <row r="76" spans="1:6" x14ac:dyDescent="0.25">
      <c r="A76" s="2" t="s">
        <v>50</v>
      </c>
      <c r="B76" s="2" t="s">
        <v>51</v>
      </c>
      <c r="C76" s="31" t="s">
        <v>153</v>
      </c>
      <c r="D76" s="2" t="s">
        <v>93</v>
      </c>
      <c r="E76" s="2" t="s">
        <v>17</v>
      </c>
      <c r="F76" s="30" t="s">
        <v>154</v>
      </c>
    </row>
    <row r="77" spans="1:6" x14ac:dyDescent="0.25">
      <c r="A77" s="6" t="s">
        <v>50</v>
      </c>
      <c r="B77" s="6" t="s">
        <v>51</v>
      </c>
      <c r="C77" s="31" t="s">
        <v>153</v>
      </c>
      <c r="D77" s="6" t="s">
        <v>93</v>
      </c>
      <c r="E77" s="6" t="s">
        <v>20</v>
      </c>
      <c r="F77" s="32" t="s">
        <v>154</v>
      </c>
    </row>
    <row r="78" spans="1:6" x14ac:dyDescent="0.25">
      <c r="A78" s="2" t="s">
        <v>50</v>
      </c>
      <c r="B78" s="2" t="s">
        <v>51</v>
      </c>
      <c r="C78" s="31" t="s">
        <v>153</v>
      </c>
      <c r="D78" s="2" t="s">
        <v>93</v>
      </c>
      <c r="E78" s="2" t="s">
        <v>23</v>
      </c>
      <c r="F78" s="30" t="s">
        <v>154</v>
      </c>
    </row>
    <row r="79" spans="1:6" x14ac:dyDescent="0.25">
      <c r="A79" s="6" t="s">
        <v>50</v>
      </c>
      <c r="B79" s="6" t="s">
        <v>51</v>
      </c>
      <c r="C79" s="31" t="s">
        <v>153</v>
      </c>
      <c r="D79" s="6" t="s">
        <v>93</v>
      </c>
      <c r="E79" s="6" t="s">
        <v>26</v>
      </c>
      <c r="F79" s="32" t="s">
        <v>154</v>
      </c>
    </row>
    <row r="80" spans="1:6" x14ac:dyDescent="0.25">
      <c r="A80" s="2" t="s">
        <v>50</v>
      </c>
      <c r="B80" s="2" t="s">
        <v>51</v>
      </c>
      <c r="C80" s="31" t="s">
        <v>153</v>
      </c>
      <c r="D80" s="2" t="s">
        <v>93</v>
      </c>
      <c r="E80" s="2" t="s">
        <v>29</v>
      </c>
      <c r="F80" s="30" t="s">
        <v>154</v>
      </c>
    </row>
    <row r="81" spans="1:6" x14ac:dyDescent="0.25">
      <c r="A81" s="6" t="s">
        <v>52</v>
      </c>
      <c r="B81" s="6" t="s">
        <v>53</v>
      </c>
      <c r="C81" s="31" t="s">
        <v>153</v>
      </c>
      <c r="D81" s="6" t="s">
        <v>93</v>
      </c>
      <c r="E81" s="6" t="s">
        <v>9</v>
      </c>
      <c r="F81" s="32" t="s">
        <v>154</v>
      </c>
    </row>
    <row r="82" spans="1:6" x14ac:dyDescent="0.25">
      <c r="A82" s="2" t="s">
        <v>52</v>
      </c>
      <c r="B82" s="2" t="s">
        <v>53</v>
      </c>
      <c r="C82" s="31" t="s">
        <v>153</v>
      </c>
      <c r="D82" s="2" t="s">
        <v>93</v>
      </c>
      <c r="E82" s="2" t="s">
        <v>14</v>
      </c>
      <c r="F82" s="30" t="s">
        <v>154</v>
      </c>
    </row>
    <row r="83" spans="1:6" x14ac:dyDescent="0.25">
      <c r="A83" s="6" t="s">
        <v>52</v>
      </c>
      <c r="B83" s="6" t="s">
        <v>53</v>
      </c>
      <c r="C83" s="31" t="s">
        <v>153</v>
      </c>
      <c r="D83" s="6" t="s">
        <v>93</v>
      </c>
      <c r="E83" s="6" t="s">
        <v>17</v>
      </c>
      <c r="F83" s="32" t="s">
        <v>154</v>
      </c>
    </row>
    <row r="84" spans="1:6" x14ac:dyDescent="0.25">
      <c r="A84" s="2" t="s">
        <v>52</v>
      </c>
      <c r="B84" s="2" t="s">
        <v>53</v>
      </c>
      <c r="C84" s="31" t="s">
        <v>153</v>
      </c>
      <c r="D84" s="2" t="s">
        <v>93</v>
      </c>
      <c r="E84" s="2" t="s">
        <v>20</v>
      </c>
      <c r="F84" s="30" t="s">
        <v>154</v>
      </c>
    </row>
    <row r="85" spans="1:6" x14ac:dyDescent="0.25">
      <c r="A85" s="6" t="s">
        <v>52</v>
      </c>
      <c r="B85" s="6" t="s">
        <v>53</v>
      </c>
      <c r="C85" s="31" t="s">
        <v>153</v>
      </c>
      <c r="D85" s="6" t="s">
        <v>93</v>
      </c>
      <c r="E85" s="6" t="s">
        <v>23</v>
      </c>
      <c r="F85" s="32" t="s">
        <v>154</v>
      </c>
    </row>
    <row r="86" spans="1:6" x14ac:dyDescent="0.25">
      <c r="A86" s="2" t="s">
        <v>52</v>
      </c>
      <c r="B86" s="2" t="s">
        <v>53</v>
      </c>
      <c r="C86" s="31" t="s">
        <v>153</v>
      </c>
      <c r="D86" s="2" t="s">
        <v>93</v>
      </c>
      <c r="E86" s="2" t="s">
        <v>26</v>
      </c>
      <c r="F86" s="30" t="s">
        <v>154</v>
      </c>
    </row>
    <row r="87" spans="1:6" x14ac:dyDescent="0.25">
      <c r="A87" s="6" t="s">
        <v>52</v>
      </c>
      <c r="B87" s="6" t="s">
        <v>53</v>
      </c>
      <c r="C87" s="31" t="s">
        <v>153</v>
      </c>
      <c r="D87" s="6" t="s">
        <v>93</v>
      </c>
      <c r="E87" s="6" t="s">
        <v>29</v>
      </c>
      <c r="F87" s="32" t="s">
        <v>154</v>
      </c>
    </row>
    <row r="88" spans="1:6" x14ac:dyDescent="0.25">
      <c r="A88" s="2" t="s">
        <v>54</v>
      </c>
      <c r="B88" s="2" t="s">
        <v>164</v>
      </c>
      <c r="C88" s="31" t="s">
        <v>153</v>
      </c>
      <c r="D88" s="2" t="s">
        <v>93</v>
      </c>
      <c r="E88" s="2" t="s">
        <v>9</v>
      </c>
      <c r="F88" s="30" t="s">
        <v>154</v>
      </c>
    </row>
    <row r="89" spans="1:6" x14ac:dyDescent="0.25">
      <c r="A89" s="6" t="s">
        <v>54</v>
      </c>
      <c r="B89" s="6" t="s">
        <v>164</v>
      </c>
      <c r="C89" s="31" t="s">
        <v>153</v>
      </c>
      <c r="D89" s="6" t="s">
        <v>93</v>
      </c>
      <c r="E89" s="6" t="s">
        <v>14</v>
      </c>
      <c r="F89" s="32" t="s">
        <v>154</v>
      </c>
    </row>
    <row r="90" spans="1:6" x14ac:dyDescent="0.25">
      <c r="A90" s="2" t="s">
        <v>54</v>
      </c>
      <c r="B90" s="2" t="s">
        <v>164</v>
      </c>
      <c r="C90" s="31" t="s">
        <v>153</v>
      </c>
      <c r="D90" s="2" t="s">
        <v>93</v>
      </c>
      <c r="E90" s="2" t="s">
        <v>17</v>
      </c>
      <c r="F90" s="30" t="s">
        <v>154</v>
      </c>
    </row>
    <row r="91" spans="1:6" x14ac:dyDescent="0.25">
      <c r="A91" s="6" t="s">
        <v>54</v>
      </c>
      <c r="B91" s="6" t="s">
        <v>164</v>
      </c>
      <c r="C91" s="31" t="s">
        <v>153</v>
      </c>
      <c r="D91" s="6" t="s">
        <v>93</v>
      </c>
      <c r="E91" s="6" t="s">
        <v>20</v>
      </c>
      <c r="F91" s="32" t="s">
        <v>154</v>
      </c>
    </row>
    <row r="92" spans="1:6" x14ac:dyDescent="0.25">
      <c r="A92" s="2" t="s">
        <v>54</v>
      </c>
      <c r="B92" s="2" t="s">
        <v>164</v>
      </c>
      <c r="C92" s="31" t="s">
        <v>153</v>
      </c>
      <c r="D92" s="2" t="s">
        <v>93</v>
      </c>
      <c r="E92" s="2" t="s">
        <v>23</v>
      </c>
      <c r="F92" s="30" t="s">
        <v>154</v>
      </c>
    </row>
    <row r="93" spans="1:6" x14ac:dyDescent="0.25">
      <c r="A93" s="6" t="s">
        <v>54</v>
      </c>
      <c r="B93" s="6" t="s">
        <v>164</v>
      </c>
      <c r="C93" s="31" t="s">
        <v>153</v>
      </c>
      <c r="D93" s="6" t="s">
        <v>93</v>
      </c>
      <c r="E93" s="6" t="s">
        <v>26</v>
      </c>
      <c r="F93" s="32" t="s">
        <v>154</v>
      </c>
    </row>
    <row r="94" spans="1:6" x14ac:dyDescent="0.25">
      <c r="A94" s="2" t="s">
        <v>54</v>
      </c>
      <c r="B94" s="2" t="s">
        <v>164</v>
      </c>
      <c r="C94" s="31" t="s">
        <v>153</v>
      </c>
      <c r="D94" s="2" t="s">
        <v>93</v>
      </c>
      <c r="E94" s="2" t="s">
        <v>29</v>
      </c>
      <c r="F94" s="30" t="s">
        <v>154</v>
      </c>
    </row>
    <row r="95" spans="1:6" x14ac:dyDescent="0.25">
      <c r="A95" s="6" t="s">
        <v>56</v>
      </c>
      <c r="B95" s="6" t="s">
        <v>165</v>
      </c>
      <c r="C95" s="31" t="s">
        <v>153</v>
      </c>
      <c r="D95" s="6" t="s">
        <v>93</v>
      </c>
      <c r="E95" s="6" t="s">
        <v>9</v>
      </c>
      <c r="F95" s="32" t="s">
        <v>154</v>
      </c>
    </row>
    <row r="96" spans="1:6" x14ac:dyDescent="0.25">
      <c r="A96" s="2" t="s">
        <v>56</v>
      </c>
      <c r="B96" s="2" t="s">
        <v>165</v>
      </c>
      <c r="C96" s="31" t="s">
        <v>153</v>
      </c>
      <c r="D96" s="2" t="s">
        <v>93</v>
      </c>
      <c r="E96" s="2" t="s">
        <v>14</v>
      </c>
      <c r="F96" s="30" t="s">
        <v>154</v>
      </c>
    </row>
    <row r="97" spans="1:6" x14ac:dyDescent="0.25">
      <c r="A97" s="6" t="s">
        <v>56</v>
      </c>
      <c r="B97" s="6" t="s">
        <v>165</v>
      </c>
      <c r="C97" s="31" t="s">
        <v>153</v>
      </c>
      <c r="D97" s="6" t="s">
        <v>93</v>
      </c>
      <c r="E97" s="6" t="s">
        <v>17</v>
      </c>
      <c r="F97" s="32" t="s">
        <v>154</v>
      </c>
    </row>
    <row r="98" spans="1:6" x14ac:dyDescent="0.25">
      <c r="A98" s="2" t="s">
        <v>56</v>
      </c>
      <c r="B98" s="2" t="s">
        <v>165</v>
      </c>
      <c r="C98" s="31" t="s">
        <v>153</v>
      </c>
      <c r="D98" s="2" t="s">
        <v>93</v>
      </c>
      <c r="E98" s="2" t="s">
        <v>20</v>
      </c>
      <c r="F98" s="30" t="s">
        <v>154</v>
      </c>
    </row>
    <row r="99" spans="1:6" x14ac:dyDescent="0.25">
      <c r="A99" s="6" t="s">
        <v>56</v>
      </c>
      <c r="B99" s="6" t="s">
        <v>165</v>
      </c>
      <c r="C99" s="31" t="s">
        <v>153</v>
      </c>
      <c r="D99" s="6" t="s">
        <v>93</v>
      </c>
      <c r="E99" s="6" t="s">
        <v>23</v>
      </c>
      <c r="F99" s="32" t="s">
        <v>154</v>
      </c>
    </row>
    <row r="100" spans="1:6" x14ac:dyDescent="0.25">
      <c r="A100" s="2" t="s">
        <v>56</v>
      </c>
      <c r="B100" s="2" t="s">
        <v>165</v>
      </c>
      <c r="C100" s="31" t="s">
        <v>153</v>
      </c>
      <c r="D100" s="2" t="s">
        <v>93</v>
      </c>
      <c r="E100" s="2" t="s">
        <v>26</v>
      </c>
      <c r="F100" s="30" t="s">
        <v>154</v>
      </c>
    </row>
    <row r="101" spans="1:6" x14ac:dyDescent="0.25">
      <c r="A101" s="6" t="s">
        <v>56</v>
      </c>
      <c r="B101" s="6" t="s">
        <v>165</v>
      </c>
      <c r="C101" s="31" t="s">
        <v>153</v>
      </c>
      <c r="D101" s="6" t="s">
        <v>93</v>
      </c>
      <c r="E101" s="6" t="s">
        <v>29</v>
      </c>
      <c r="F101" s="32" t="s">
        <v>154</v>
      </c>
    </row>
    <row r="102" spans="1:6" x14ac:dyDescent="0.25">
      <c r="A102" s="2" t="s">
        <v>58</v>
      </c>
      <c r="B102" s="2" t="s">
        <v>59</v>
      </c>
      <c r="C102" s="31" t="s">
        <v>153</v>
      </c>
      <c r="D102" s="2" t="s">
        <v>93</v>
      </c>
      <c r="E102" s="2" t="s">
        <v>9</v>
      </c>
      <c r="F102" s="30" t="s">
        <v>154</v>
      </c>
    </row>
    <row r="103" spans="1:6" x14ac:dyDescent="0.25">
      <c r="A103" s="6" t="s">
        <v>58</v>
      </c>
      <c r="B103" s="6" t="s">
        <v>59</v>
      </c>
      <c r="C103" s="31" t="s">
        <v>153</v>
      </c>
      <c r="D103" s="6" t="s">
        <v>93</v>
      </c>
      <c r="E103" s="6" t="s">
        <v>14</v>
      </c>
      <c r="F103" s="32" t="s">
        <v>154</v>
      </c>
    </row>
    <row r="104" spans="1:6" x14ac:dyDescent="0.25">
      <c r="A104" s="2" t="s">
        <v>58</v>
      </c>
      <c r="B104" s="2" t="s">
        <v>59</v>
      </c>
      <c r="C104" s="31" t="s">
        <v>153</v>
      </c>
      <c r="D104" s="2" t="s">
        <v>93</v>
      </c>
      <c r="E104" s="2" t="s">
        <v>17</v>
      </c>
      <c r="F104" s="30" t="s">
        <v>154</v>
      </c>
    </row>
    <row r="105" spans="1:6" x14ac:dyDescent="0.25">
      <c r="A105" s="6" t="s">
        <v>58</v>
      </c>
      <c r="B105" s="6" t="s">
        <v>59</v>
      </c>
      <c r="C105" s="31" t="s">
        <v>153</v>
      </c>
      <c r="D105" s="6" t="s">
        <v>93</v>
      </c>
      <c r="E105" s="6" t="s">
        <v>20</v>
      </c>
      <c r="F105" s="32" t="s">
        <v>154</v>
      </c>
    </row>
    <row r="106" spans="1:6" x14ac:dyDescent="0.25">
      <c r="A106" s="2" t="s">
        <v>58</v>
      </c>
      <c r="B106" s="2" t="s">
        <v>59</v>
      </c>
      <c r="C106" s="31" t="s">
        <v>153</v>
      </c>
      <c r="D106" s="2" t="s">
        <v>93</v>
      </c>
      <c r="E106" s="2" t="s">
        <v>23</v>
      </c>
      <c r="F106" s="30" t="s">
        <v>154</v>
      </c>
    </row>
    <row r="107" spans="1:6" x14ac:dyDescent="0.25">
      <c r="A107" s="6" t="s">
        <v>58</v>
      </c>
      <c r="B107" s="6" t="s">
        <v>59</v>
      </c>
      <c r="C107" s="31" t="s">
        <v>153</v>
      </c>
      <c r="D107" s="6" t="s">
        <v>93</v>
      </c>
      <c r="E107" s="6" t="s">
        <v>26</v>
      </c>
      <c r="F107" s="32" t="s">
        <v>154</v>
      </c>
    </row>
    <row r="108" spans="1:6" x14ac:dyDescent="0.25">
      <c r="A108" s="2" t="s">
        <v>58</v>
      </c>
      <c r="B108" s="2" t="s">
        <v>59</v>
      </c>
      <c r="C108" s="31" t="s">
        <v>153</v>
      </c>
      <c r="D108" s="2" t="s">
        <v>93</v>
      </c>
      <c r="E108" s="2" t="s">
        <v>29</v>
      </c>
      <c r="F108" s="30" t="s">
        <v>154</v>
      </c>
    </row>
    <row r="109" spans="1:6" x14ac:dyDescent="0.25">
      <c r="A109" s="6" t="s">
        <v>60</v>
      </c>
      <c r="B109" s="6" t="s">
        <v>166</v>
      </c>
      <c r="C109" s="31" t="s">
        <v>153</v>
      </c>
      <c r="D109" s="6" t="s">
        <v>93</v>
      </c>
      <c r="E109" s="6" t="s">
        <v>9</v>
      </c>
      <c r="F109" s="32" t="s">
        <v>154</v>
      </c>
    </row>
    <row r="110" spans="1:6" x14ac:dyDescent="0.25">
      <c r="A110" s="2" t="s">
        <v>60</v>
      </c>
      <c r="B110" s="2" t="s">
        <v>166</v>
      </c>
      <c r="C110" s="31" t="s">
        <v>153</v>
      </c>
      <c r="D110" s="2" t="s">
        <v>93</v>
      </c>
      <c r="E110" s="2" t="s">
        <v>14</v>
      </c>
      <c r="F110" s="30" t="s">
        <v>154</v>
      </c>
    </row>
    <row r="111" spans="1:6" x14ac:dyDescent="0.25">
      <c r="A111" s="6" t="s">
        <v>60</v>
      </c>
      <c r="B111" s="6" t="s">
        <v>166</v>
      </c>
      <c r="C111" s="31" t="s">
        <v>153</v>
      </c>
      <c r="D111" s="6" t="s">
        <v>93</v>
      </c>
      <c r="E111" s="6" t="s">
        <v>17</v>
      </c>
      <c r="F111" s="32" t="s">
        <v>154</v>
      </c>
    </row>
    <row r="112" spans="1:6" x14ac:dyDescent="0.25">
      <c r="A112" s="2" t="s">
        <v>60</v>
      </c>
      <c r="B112" s="2" t="s">
        <v>166</v>
      </c>
      <c r="C112" s="31" t="s">
        <v>153</v>
      </c>
      <c r="D112" s="2" t="s">
        <v>93</v>
      </c>
      <c r="E112" s="2" t="s">
        <v>20</v>
      </c>
      <c r="F112" s="30" t="s">
        <v>154</v>
      </c>
    </row>
    <row r="113" spans="1:6" x14ac:dyDescent="0.25">
      <c r="A113" s="6" t="s">
        <v>60</v>
      </c>
      <c r="B113" s="6" t="s">
        <v>166</v>
      </c>
      <c r="C113" s="31" t="s">
        <v>153</v>
      </c>
      <c r="D113" s="6" t="s">
        <v>93</v>
      </c>
      <c r="E113" s="6" t="s">
        <v>23</v>
      </c>
      <c r="F113" s="32" t="s">
        <v>154</v>
      </c>
    </row>
    <row r="114" spans="1:6" x14ac:dyDescent="0.25">
      <c r="A114" s="2" t="s">
        <v>60</v>
      </c>
      <c r="B114" s="2" t="s">
        <v>166</v>
      </c>
      <c r="C114" s="31" t="s">
        <v>153</v>
      </c>
      <c r="D114" s="2" t="s">
        <v>93</v>
      </c>
      <c r="E114" s="2" t="s">
        <v>26</v>
      </c>
      <c r="F114" s="30" t="s">
        <v>154</v>
      </c>
    </row>
    <row r="115" spans="1:6" x14ac:dyDescent="0.25">
      <c r="A115" s="6" t="s">
        <v>60</v>
      </c>
      <c r="B115" s="6" t="s">
        <v>166</v>
      </c>
      <c r="C115" s="31" t="s">
        <v>153</v>
      </c>
      <c r="D115" s="6" t="s">
        <v>93</v>
      </c>
      <c r="E115" s="6" t="s">
        <v>29</v>
      </c>
      <c r="F115" s="32" t="s">
        <v>154</v>
      </c>
    </row>
    <row r="116" spans="1:6" x14ac:dyDescent="0.25">
      <c r="A116" s="2" t="s">
        <v>62</v>
      </c>
      <c r="B116" s="2" t="s">
        <v>167</v>
      </c>
      <c r="C116" s="31" t="s">
        <v>153</v>
      </c>
      <c r="D116" s="2" t="s">
        <v>93</v>
      </c>
      <c r="E116" s="2" t="s">
        <v>9</v>
      </c>
      <c r="F116" s="30" t="s">
        <v>154</v>
      </c>
    </row>
    <row r="117" spans="1:6" x14ac:dyDescent="0.25">
      <c r="A117" s="6" t="s">
        <v>62</v>
      </c>
      <c r="B117" s="6" t="s">
        <v>167</v>
      </c>
      <c r="C117" s="31" t="s">
        <v>153</v>
      </c>
      <c r="D117" s="6" t="s">
        <v>93</v>
      </c>
      <c r="E117" s="6" t="s">
        <v>14</v>
      </c>
      <c r="F117" s="32" t="s">
        <v>154</v>
      </c>
    </row>
    <row r="118" spans="1:6" x14ac:dyDescent="0.25">
      <c r="A118" s="2" t="s">
        <v>62</v>
      </c>
      <c r="B118" s="2" t="s">
        <v>167</v>
      </c>
      <c r="C118" s="31" t="s">
        <v>153</v>
      </c>
      <c r="D118" s="2" t="s">
        <v>93</v>
      </c>
      <c r="E118" s="2" t="s">
        <v>17</v>
      </c>
      <c r="F118" s="30" t="s">
        <v>154</v>
      </c>
    </row>
    <row r="119" spans="1:6" x14ac:dyDescent="0.25">
      <c r="A119" s="6" t="s">
        <v>62</v>
      </c>
      <c r="B119" s="6" t="s">
        <v>167</v>
      </c>
      <c r="C119" s="31" t="s">
        <v>153</v>
      </c>
      <c r="D119" s="6" t="s">
        <v>93</v>
      </c>
      <c r="E119" s="6" t="s">
        <v>20</v>
      </c>
      <c r="F119" s="32" t="s">
        <v>154</v>
      </c>
    </row>
    <row r="120" spans="1:6" x14ac:dyDescent="0.25">
      <c r="A120" s="2" t="s">
        <v>62</v>
      </c>
      <c r="B120" s="2" t="s">
        <v>167</v>
      </c>
      <c r="C120" s="31" t="s">
        <v>153</v>
      </c>
      <c r="D120" s="2" t="s">
        <v>93</v>
      </c>
      <c r="E120" s="2" t="s">
        <v>23</v>
      </c>
      <c r="F120" s="30" t="s">
        <v>154</v>
      </c>
    </row>
    <row r="121" spans="1:6" x14ac:dyDescent="0.25">
      <c r="A121" s="6" t="s">
        <v>62</v>
      </c>
      <c r="B121" s="6" t="s">
        <v>167</v>
      </c>
      <c r="C121" s="31" t="s">
        <v>153</v>
      </c>
      <c r="D121" s="6" t="s">
        <v>93</v>
      </c>
      <c r="E121" s="6" t="s">
        <v>26</v>
      </c>
      <c r="F121" s="32" t="s">
        <v>154</v>
      </c>
    </row>
    <row r="122" spans="1:6" x14ac:dyDescent="0.25">
      <c r="A122" s="2" t="s">
        <v>62</v>
      </c>
      <c r="B122" s="2" t="s">
        <v>167</v>
      </c>
      <c r="C122" s="31" t="s">
        <v>153</v>
      </c>
      <c r="D122" s="2" t="s">
        <v>93</v>
      </c>
      <c r="E122" s="2" t="s">
        <v>29</v>
      </c>
      <c r="F122" s="30" t="s">
        <v>154</v>
      </c>
    </row>
    <row r="123" spans="1:6" x14ac:dyDescent="0.25">
      <c r="A123" s="6" t="s">
        <v>64</v>
      </c>
      <c r="B123" s="6" t="s">
        <v>168</v>
      </c>
      <c r="C123" s="31" t="s">
        <v>153</v>
      </c>
      <c r="D123" s="6" t="s">
        <v>93</v>
      </c>
      <c r="E123" s="6" t="s">
        <v>9</v>
      </c>
      <c r="F123" s="32" t="s">
        <v>154</v>
      </c>
    </row>
    <row r="124" spans="1:6" x14ac:dyDescent="0.25">
      <c r="A124" s="2" t="s">
        <v>64</v>
      </c>
      <c r="B124" s="2" t="s">
        <v>168</v>
      </c>
      <c r="C124" s="31" t="s">
        <v>153</v>
      </c>
      <c r="D124" s="2" t="s">
        <v>93</v>
      </c>
      <c r="E124" s="2" t="s">
        <v>14</v>
      </c>
      <c r="F124" s="30" t="s">
        <v>154</v>
      </c>
    </row>
    <row r="125" spans="1:6" x14ac:dyDescent="0.25">
      <c r="A125" s="6" t="s">
        <v>64</v>
      </c>
      <c r="B125" s="6" t="s">
        <v>168</v>
      </c>
      <c r="C125" s="31" t="s">
        <v>153</v>
      </c>
      <c r="D125" s="6" t="s">
        <v>93</v>
      </c>
      <c r="E125" s="6" t="s">
        <v>17</v>
      </c>
      <c r="F125" s="32" t="s">
        <v>154</v>
      </c>
    </row>
    <row r="126" spans="1:6" x14ac:dyDescent="0.25">
      <c r="A126" s="2" t="s">
        <v>64</v>
      </c>
      <c r="B126" s="2" t="s">
        <v>168</v>
      </c>
      <c r="C126" s="31" t="s">
        <v>153</v>
      </c>
      <c r="D126" s="2" t="s">
        <v>93</v>
      </c>
      <c r="E126" s="2" t="s">
        <v>20</v>
      </c>
      <c r="F126" s="30" t="s">
        <v>154</v>
      </c>
    </row>
    <row r="127" spans="1:6" x14ac:dyDescent="0.25">
      <c r="A127" s="6" t="s">
        <v>64</v>
      </c>
      <c r="B127" s="6" t="s">
        <v>168</v>
      </c>
      <c r="C127" s="31" t="s">
        <v>153</v>
      </c>
      <c r="D127" s="6" t="s">
        <v>93</v>
      </c>
      <c r="E127" s="6" t="s">
        <v>23</v>
      </c>
      <c r="F127" s="32" t="s">
        <v>154</v>
      </c>
    </row>
    <row r="128" spans="1:6" x14ac:dyDescent="0.25">
      <c r="A128" s="2" t="s">
        <v>64</v>
      </c>
      <c r="B128" s="2" t="s">
        <v>168</v>
      </c>
      <c r="C128" s="31" t="s">
        <v>153</v>
      </c>
      <c r="D128" s="2" t="s">
        <v>93</v>
      </c>
      <c r="E128" s="2" t="s">
        <v>26</v>
      </c>
      <c r="F128" s="30" t="s">
        <v>154</v>
      </c>
    </row>
    <row r="129" spans="1:6" x14ac:dyDescent="0.25">
      <c r="A129" s="6" t="s">
        <v>64</v>
      </c>
      <c r="B129" s="6" t="s">
        <v>168</v>
      </c>
      <c r="C129" s="31" t="s">
        <v>153</v>
      </c>
      <c r="D129" s="6" t="s">
        <v>93</v>
      </c>
      <c r="E129" s="6" t="s">
        <v>29</v>
      </c>
      <c r="F129" s="32" t="s">
        <v>154</v>
      </c>
    </row>
    <row r="130" spans="1:6" x14ac:dyDescent="0.25">
      <c r="A130" s="2" t="s">
        <v>66</v>
      </c>
      <c r="B130" s="2" t="s">
        <v>169</v>
      </c>
      <c r="C130" s="31" t="s">
        <v>153</v>
      </c>
      <c r="D130" s="2" t="s">
        <v>93</v>
      </c>
      <c r="E130" s="2" t="s">
        <v>9</v>
      </c>
      <c r="F130" s="30" t="s">
        <v>154</v>
      </c>
    </row>
    <row r="131" spans="1:6" x14ac:dyDescent="0.25">
      <c r="A131" s="6" t="s">
        <v>66</v>
      </c>
      <c r="B131" s="6" t="s">
        <v>169</v>
      </c>
      <c r="C131" s="31" t="s">
        <v>153</v>
      </c>
      <c r="D131" s="6" t="s">
        <v>93</v>
      </c>
      <c r="E131" s="6" t="s">
        <v>14</v>
      </c>
      <c r="F131" s="32" t="s">
        <v>154</v>
      </c>
    </row>
    <row r="132" spans="1:6" x14ac:dyDescent="0.25">
      <c r="A132" s="2" t="s">
        <v>66</v>
      </c>
      <c r="B132" s="2" t="s">
        <v>169</v>
      </c>
      <c r="C132" s="31" t="s">
        <v>153</v>
      </c>
      <c r="D132" s="2" t="s">
        <v>93</v>
      </c>
      <c r="E132" s="2" t="s">
        <v>17</v>
      </c>
      <c r="F132" s="30" t="s">
        <v>154</v>
      </c>
    </row>
    <row r="133" spans="1:6" x14ac:dyDescent="0.25">
      <c r="A133" s="6" t="s">
        <v>66</v>
      </c>
      <c r="B133" s="6" t="s">
        <v>169</v>
      </c>
      <c r="C133" s="31" t="s">
        <v>153</v>
      </c>
      <c r="D133" s="6" t="s">
        <v>93</v>
      </c>
      <c r="E133" s="6" t="s">
        <v>20</v>
      </c>
      <c r="F133" s="32" t="s">
        <v>154</v>
      </c>
    </row>
    <row r="134" spans="1:6" x14ac:dyDescent="0.25">
      <c r="A134" s="2" t="s">
        <v>66</v>
      </c>
      <c r="B134" s="2" t="s">
        <v>169</v>
      </c>
      <c r="C134" s="31" t="s">
        <v>153</v>
      </c>
      <c r="D134" s="2" t="s">
        <v>93</v>
      </c>
      <c r="E134" s="2" t="s">
        <v>23</v>
      </c>
      <c r="F134" s="30" t="s">
        <v>154</v>
      </c>
    </row>
    <row r="135" spans="1:6" x14ac:dyDescent="0.25">
      <c r="A135" s="6" t="s">
        <v>66</v>
      </c>
      <c r="B135" s="6" t="s">
        <v>169</v>
      </c>
      <c r="C135" s="31" t="s">
        <v>153</v>
      </c>
      <c r="D135" s="6" t="s">
        <v>93</v>
      </c>
      <c r="E135" s="6" t="s">
        <v>26</v>
      </c>
      <c r="F135" s="32" t="s">
        <v>154</v>
      </c>
    </row>
    <row r="136" spans="1:6" x14ac:dyDescent="0.25">
      <c r="A136" s="2" t="s">
        <v>66</v>
      </c>
      <c r="B136" s="2" t="s">
        <v>169</v>
      </c>
      <c r="C136" s="31" t="s">
        <v>153</v>
      </c>
      <c r="D136" s="2" t="s">
        <v>93</v>
      </c>
      <c r="E136" s="2" t="s">
        <v>29</v>
      </c>
      <c r="F136" s="30" t="s">
        <v>154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18" outlineLevelRow="0" outlineLevelCol="0" x14ac:dyDescent="55" customHeight="1"/>
  <cols>
    <col min="1" max="1" width="34" customWidth="1"/>
    <col min="2" max="2" width="100" customWidth="1"/>
  </cols>
  <sheetData>
    <row r="1" ht="28" customHeight="1" spans="1:2" x14ac:dyDescent="0.25">
      <c r="A1" s="1" t="s">
        <v>170</v>
      </c>
      <c r="B1" s="1" t="s">
        <v>171</v>
      </c>
    </row>
    <row r="2" spans="1:2" x14ac:dyDescent="0.25">
      <c r="A2" s="2" t="s">
        <v>172</v>
      </c>
      <c r="B2" s="33">
        <v>1</v>
      </c>
    </row>
    <row r="3" spans="1:2" x14ac:dyDescent="0.25">
      <c r="A3" s="6" t="s">
        <v>173</v>
      </c>
      <c r="B3" s="34" t="s">
        <v>66</v>
      </c>
    </row>
    <row r="4" spans="1:2" x14ac:dyDescent="0.25">
      <c r="A4" s="2" t="s">
        <v>174</v>
      </c>
      <c r="B4" s="33" t="s">
        <v>67</v>
      </c>
    </row>
    <row r="5" spans="1:2" x14ac:dyDescent="0.25">
      <c r="A5" s="6" t="s">
        <v>175</v>
      </c>
      <c r="B5" s="34" t="s">
        <v>92</v>
      </c>
    </row>
    <row r="6" spans="1:2" x14ac:dyDescent="0.25">
      <c r="A6" s="2" t="s">
        <v>176</v>
      </c>
      <c r="B6" s="35">
        <v>0.005</v>
      </c>
    </row>
    <row r="7" spans="1:2" x14ac:dyDescent="0.25">
      <c r="A7" s="6" t="s">
        <v>177</v>
      </c>
      <c r="B7" s="36">
        <v>0.01</v>
      </c>
    </row>
    <row r="8" spans="1:2" x14ac:dyDescent="0.25">
      <c r="A8" s="2" t="s">
        <v>178</v>
      </c>
      <c r="B8" s="33" t="s">
        <v>179</v>
      </c>
    </row>
    <row r="9" spans="1:2" x14ac:dyDescent="0.25">
      <c r="A9" s="6" t="s">
        <v>180</v>
      </c>
      <c r="B9" s="34" t="s">
        <v>181</v>
      </c>
    </row>
    <row r="10" spans="1:2" x14ac:dyDescent="0.25">
      <c r="A10" s="2" t="s">
        <v>182</v>
      </c>
      <c r="B10" s="33" t="s">
        <v>183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EOD Prices</vt:lpstr>
      <vt:lpstr>Derived 5Y Spreads</vt:lpstr>
      <vt:lpstr>Daily Dashboard</vt:lpstr>
      <vt:lpstr>Discount Curves</vt:lpstr>
      <vt:lpstr>Contract Registry</vt:lpstr>
      <vt:lpstr>Validation Log</vt:lpstr>
      <vt:lpstr>Methodology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Investment Dashboard</dc:creator>
  <dc:title/>
  <dc:subject/>
  <dc:description/>
  <cp:keywords/>
  <cp:category/>
  <cp:lastModifiedBy>AI Investment Dashboard</cp:lastModifiedBy>
  <dcterms:created xsi:type="dcterms:W3CDTF">2026-09-20T06:27:35Z</dcterms:created>
  <dcterms:modified xsi:type="dcterms:W3CDTF">2026-09-20T06:27:35Z</dcterms:modified>
</cp:coreProperties>
</file>